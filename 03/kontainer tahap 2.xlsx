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Tagihan Kontainer\03\"/>
    </mc:Choice>
  </mc:AlternateContent>
  <xr:revisionPtr revIDLastSave="0" documentId="13_ncr:1_{C38219D3-B27A-470A-8614-CC7760B3ACB2}" xr6:coauthVersionLast="47" xr6:coauthVersionMax="47" xr10:uidLastSave="{00000000-0000-0000-0000-000000000000}"/>
  <bookViews>
    <workbookView xWindow="-192" yWindow="36" windowWidth="11736" windowHeight="12240" xr2:uid="{A979DD9F-AC9A-473B-962D-937306B607AC}"/>
  </bookViews>
  <sheets>
    <sheet name="Sheet2" sheetId="2" r:id="rId1"/>
    <sheet name="Sheet1" sheetId="1" r:id="rId2"/>
  </sheets>
  <definedNames>
    <definedName name="_xlnm._FilterDatabase" localSheetId="1" hidden="1">Sheet1!$A$1:$S$514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2" i="1"/>
  <c r="K3" i="1"/>
  <c r="K4" i="1"/>
  <c r="K5" i="1"/>
  <c r="K6" i="1"/>
  <c r="K7" i="1"/>
  <c r="K8" i="1"/>
  <c r="K9" i="1"/>
  <c r="K10" i="1"/>
  <c r="K11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2" i="1"/>
</calcChain>
</file>

<file path=xl/sharedStrings.xml><?xml version="1.0" encoding="utf-8"?>
<sst xmlns="http://schemas.openxmlformats.org/spreadsheetml/2006/main" count="1563" uniqueCount="628">
  <si>
    <t>Prefix</t>
  </si>
  <si>
    <t>No.Cont</t>
  </si>
  <si>
    <t>GESU</t>
  </si>
  <si>
    <t>MSKU</t>
  </si>
  <si>
    <t>BPLU</t>
  </si>
  <si>
    <t>TGHU</t>
  </si>
  <si>
    <t>UESU</t>
  </si>
  <si>
    <t>HJMU</t>
  </si>
  <si>
    <t>NYKU</t>
  </si>
  <si>
    <t>FCIU</t>
  </si>
  <si>
    <t>OOLU</t>
  </si>
  <si>
    <t>TEMU</t>
  </si>
  <si>
    <t>0833730</t>
  </si>
  <si>
    <t>CBHU</t>
  </si>
  <si>
    <t>WHLU</t>
  </si>
  <si>
    <t>0201602</t>
  </si>
  <si>
    <t>ECMU</t>
  </si>
  <si>
    <t>CRSU</t>
  </si>
  <si>
    <t>KKTU</t>
  </si>
  <si>
    <t>DNAU</t>
  </si>
  <si>
    <t>GLDU</t>
  </si>
  <si>
    <t>PCIU</t>
  </si>
  <si>
    <t>MAEU</t>
  </si>
  <si>
    <t>EMCU</t>
  </si>
  <si>
    <t>APLS</t>
  </si>
  <si>
    <t>DRYU</t>
  </si>
  <si>
    <t>GATU</t>
  </si>
  <si>
    <t>TEXU</t>
  </si>
  <si>
    <t>FORU</t>
  </si>
  <si>
    <t>CRXU</t>
  </si>
  <si>
    <t>CSLU</t>
  </si>
  <si>
    <t>CCLU</t>
  </si>
  <si>
    <t>FSCU</t>
  </si>
  <si>
    <t>CAIU</t>
  </si>
  <si>
    <t>SEGU</t>
  </si>
  <si>
    <t>0268015</t>
  </si>
  <si>
    <t>CXDU</t>
  </si>
  <si>
    <t>SIKU</t>
  </si>
  <si>
    <t>TRLU</t>
  </si>
  <si>
    <t>APZU</t>
  </si>
  <si>
    <t>WLNU</t>
  </si>
  <si>
    <t>BMOU</t>
  </si>
  <si>
    <t>HJLU</t>
  </si>
  <si>
    <t>0249308</t>
  </si>
  <si>
    <t>0115584</t>
  </si>
  <si>
    <t>0321315</t>
  </si>
  <si>
    <t>HJCU</t>
  </si>
  <si>
    <t>IPXU</t>
  </si>
  <si>
    <t>HMCU</t>
  </si>
  <si>
    <t>ZONA</t>
  </si>
  <si>
    <t>9900166</t>
  </si>
  <si>
    <t>MEDU</t>
  </si>
  <si>
    <t>0274023</t>
  </si>
  <si>
    <t>CAXU</t>
  </si>
  <si>
    <t>GVCU</t>
  </si>
  <si>
    <t>0187542</t>
  </si>
  <si>
    <t>0330050</t>
  </si>
  <si>
    <t>SCZU</t>
  </si>
  <si>
    <t>EISU</t>
  </si>
  <si>
    <t>0352189</t>
  </si>
  <si>
    <t>DFSU</t>
  </si>
  <si>
    <t>BHSU</t>
  </si>
  <si>
    <t>CLHU</t>
  </si>
  <si>
    <t>MAGU</t>
  </si>
  <si>
    <t>FCGU</t>
  </si>
  <si>
    <t>CPSU</t>
  </si>
  <si>
    <t>WSCU</t>
  </si>
  <si>
    <t>XXXU</t>
  </si>
  <si>
    <t>BAXU</t>
  </si>
  <si>
    <t>XNKU</t>
  </si>
  <si>
    <t>APHU</t>
  </si>
  <si>
    <t>0339239</t>
  </si>
  <si>
    <t>INKU</t>
  </si>
  <si>
    <t>TCKU</t>
  </si>
  <si>
    <t>KPHU</t>
  </si>
  <si>
    <t>CMAU</t>
  </si>
  <si>
    <t>0302969</t>
  </si>
  <si>
    <t>0162973</t>
  </si>
  <si>
    <t>INBU</t>
  </si>
  <si>
    <t>SNTU</t>
  </si>
  <si>
    <t>UGMU</t>
  </si>
  <si>
    <t>MSCU</t>
  </si>
  <si>
    <t>0328182</t>
  </si>
  <si>
    <t>EITU</t>
  </si>
  <si>
    <t>TCNU</t>
  </si>
  <si>
    <t>KMTU</t>
  </si>
  <si>
    <t>0653963</t>
  </si>
  <si>
    <t>IRNU</t>
  </si>
  <si>
    <t>GSTU</t>
  </si>
  <si>
    <t>PONU</t>
  </si>
  <si>
    <t>0713265</t>
  </si>
  <si>
    <t>XINU</t>
  </si>
  <si>
    <t>0319684</t>
  </si>
  <si>
    <t>0724549</t>
  </si>
  <si>
    <t>TLHU</t>
  </si>
  <si>
    <t>0635822</t>
  </si>
  <si>
    <t>HDMU</t>
  </si>
  <si>
    <t>0131970</t>
  </si>
  <si>
    <t>WFHU</t>
  </si>
  <si>
    <t>TTNU</t>
  </si>
  <si>
    <t>MRLU</t>
  </si>
  <si>
    <t>0296911</t>
  </si>
  <si>
    <t>ZCIU</t>
  </si>
  <si>
    <t>RFCU</t>
  </si>
  <si>
    <t>DAVU</t>
  </si>
  <si>
    <t>1280141</t>
  </si>
  <si>
    <t>Ukuran</t>
  </si>
  <si>
    <t>TGL SEWA</t>
  </si>
  <si>
    <t>Tgl. Kembali</t>
  </si>
  <si>
    <t>x</t>
  </si>
  <si>
    <t>BSIU</t>
  </si>
  <si>
    <t>SCMU</t>
  </si>
  <si>
    <t>AMFU</t>
  </si>
  <si>
    <t>TCLU</t>
  </si>
  <si>
    <t>0397343</t>
  </si>
  <si>
    <t>MLCU</t>
  </si>
  <si>
    <t>0273177</t>
  </si>
  <si>
    <t>ZIMU</t>
  </si>
  <si>
    <t>0466803</t>
  </si>
  <si>
    <t>AXIU</t>
  </si>
  <si>
    <t>ILSU</t>
  </si>
  <si>
    <t>0848960</t>
  </si>
  <si>
    <t>MOMU</t>
  </si>
  <si>
    <t>0269269</t>
  </si>
  <si>
    <t>0149096</t>
  </si>
  <si>
    <t>HLXU</t>
  </si>
  <si>
    <t>YMLU</t>
  </si>
  <si>
    <t>0352424</t>
  </si>
  <si>
    <t>0283787</t>
  </si>
  <si>
    <t>EGHU</t>
  </si>
  <si>
    <t>ZGXU</t>
  </si>
  <si>
    <t>3499789</t>
  </si>
  <si>
    <t>0293635</t>
  </si>
  <si>
    <t>0281346</t>
  </si>
  <si>
    <t>40 FT</t>
  </si>
  <si>
    <t>X</t>
  </si>
  <si>
    <t>Row Labels</t>
  </si>
  <si>
    <t>Grand Total</t>
  </si>
  <si>
    <t>GESU5114504|40 FT|High Cube|ZONA</t>
  </si>
  <si>
    <t>MSKU4555445|40 FT|High Cube|ZONA</t>
  </si>
  <si>
    <t>GESU5570090|40 FT|High Cube|ZONA</t>
  </si>
  <si>
    <t>BPLU1210002|40 FT|High Cube|ZONA</t>
  </si>
  <si>
    <t>GESU5508370|40 FT|High Cube|ZONA</t>
  </si>
  <si>
    <t>TGHU6130478|40 FT|High Cube|ZONA</t>
  </si>
  <si>
    <t>UESU4688707|40 FT|High Cube|ZONA</t>
  </si>
  <si>
    <t>HJMU1531909|40 FT|High Cube|ZONA</t>
  </si>
  <si>
    <t>NYKU6973772|40 FT|High Cube|ZONA</t>
  </si>
  <si>
    <t>FCIU9298391|40 FT|High Cube|ZONA</t>
  </si>
  <si>
    <t>GESU5801429|40 FT|DRY|ZONA</t>
  </si>
  <si>
    <t>20 FT</t>
  </si>
  <si>
    <t>OOLU3687290|20 FT|DRY|ZONA</t>
  </si>
  <si>
    <t>TEMU2740070|20 FT|DRY|ZONA</t>
  </si>
  <si>
    <t>TGHU0833730|20 FT|DRY|ZONA</t>
  </si>
  <si>
    <t>CBHU5700122|20 FT|DRY|ZONA</t>
  </si>
  <si>
    <t>WHLU0201602|20 FT|DRY|ZONA</t>
  </si>
  <si>
    <t>TEMU2863449|20 FT|DRY|ZONA</t>
  </si>
  <si>
    <t>ECMU1819649|20 FT|DRY|ZONA</t>
  </si>
  <si>
    <t>CRSU1412020|20 FT|DRY|ZONA</t>
  </si>
  <si>
    <t>MSKU2582797|20 FT|DRY|ZONA</t>
  </si>
  <si>
    <t>FCIU3493087|20 FT|DRY|ZONA</t>
  </si>
  <si>
    <t>KKTU7693300|20 FT|DRY|ZONA</t>
  </si>
  <si>
    <t>DNAU2622206|20 FT|DRY|ZONA</t>
  </si>
  <si>
    <t>GLDU2104936|20 FT|DRY|ZONA</t>
  </si>
  <si>
    <t>TGHU3988490|20 FT|DRY|ZONA</t>
  </si>
  <si>
    <t>PCIU2898481|20 FT|DRY|ZONA</t>
  </si>
  <si>
    <t>MAEU6957872|20 FT|DRY|ZONA</t>
  </si>
  <si>
    <t>EMCU6038844|20 FT|DRY|ZONA</t>
  </si>
  <si>
    <t>GESU3809117|20 FT|DRY|ZONA</t>
  </si>
  <si>
    <t>EMCU3919740|20 FT|DRY|ZONA</t>
  </si>
  <si>
    <t>OOLU1536654|20 FT|DRY|ZONA</t>
  </si>
  <si>
    <t>APLS2972932|20 FT|DRY|ZONA</t>
  </si>
  <si>
    <t>TEMU2697250|20 FT|DRY|ZONA</t>
  </si>
  <si>
    <t>GESU2615101|20 FT|DRY|ZONA</t>
  </si>
  <si>
    <t>DRYU2292882|20 FT|DRY|ZONA</t>
  </si>
  <si>
    <t>GATU1056446|20 FT|DRY|ZONA</t>
  </si>
  <si>
    <t>TEXU3796647|20 FT|DRY|ZONA</t>
  </si>
  <si>
    <t>UESU2310702|20 FT|DRY|ZONA</t>
  </si>
  <si>
    <t>FORU2024779|20 FT|DRY|ZONA</t>
  </si>
  <si>
    <t>GESU3042262|20 FT|DRY|ZONA</t>
  </si>
  <si>
    <t>TEMU3769890|20 FT|DRY|ZONA</t>
  </si>
  <si>
    <t>CRXU3064959|20 FT|DRY|ZONA</t>
  </si>
  <si>
    <t>DRYU2524550|20 FT|DRY|ZONA</t>
  </si>
  <si>
    <t>TEMU2353770|20 FT|DRY|ZONA</t>
  </si>
  <si>
    <t>TEXU3818073|20 FT|DRY|ZONA</t>
  </si>
  <si>
    <t>CBHU5604788|20 FT|DRY|ZONA</t>
  </si>
  <si>
    <t>OOLU1412308|20 FT|DRY|ZONA</t>
  </si>
  <si>
    <t>CBHU3665634|20 FT|DRY|ZONA</t>
  </si>
  <si>
    <t>OOLU1375333|20 FT|DRY|ZONA</t>
  </si>
  <si>
    <t>CSLU1059942|20 FT|DRY|ZONA</t>
  </si>
  <si>
    <t>CCLU3651034|20 FT|DRY|ZONA</t>
  </si>
  <si>
    <t>FSCU7399144|20 FT|DRY|ZONA</t>
  </si>
  <si>
    <t>FCIU2668909|20 FT|DRY|ZONA</t>
  </si>
  <si>
    <t>CRXU1432964|20 FT|DRY|ZONA</t>
  </si>
  <si>
    <t>CAIU2744385|20 FT|DRY|ZONA</t>
  </si>
  <si>
    <t>EMCU6009872|20 FT|DRY|ZONA</t>
  </si>
  <si>
    <t>OOLU1529866|20 FT|DRY|ZONA</t>
  </si>
  <si>
    <t>TEMU2246827|20 FT|DRY|ZONA</t>
  </si>
  <si>
    <t>SEGU1410375|20 FT|DRY|ZONA</t>
  </si>
  <si>
    <t>CSLU1426586|20 FT|DRY|ZONA</t>
  </si>
  <si>
    <t>MSKU3001238|20 FT|DRY|ZONA</t>
  </si>
  <si>
    <t>OOLU1192163|20 FT|DRY|ZONA</t>
  </si>
  <si>
    <t>CAIU2857756|20 FT|DRY|ZONA</t>
  </si>
  <si>
    <t>TGHU2794648|20 FT|DRY|ZONA</t>
  </si>
  <si>
    <t>CSLU1032520|20 FT|DRY|ZONA</t>
  </si>
  <si>
    <t>CRXU3112086|20 FT|DRY|ZONA</t>
  </si>
  <si>
    <t>TEMU2722517|20 FT|DRY|ZONA</t>
  </si>
  <si>
    <t>TGHU1849896|20 FT|DRY|ZONA</t>
  </si>
  <si>
    <t>TGHU3067258|20 FT|DRY|ZONA</t>
  </si>
  <si>
    <t>WHLU0268015|20 FT|DRY|ZONA</t>
  </si>
  <si>
    <t>GLDU9703366|20 FT|DRY|ZONA</t>
  </si>
  <si>
    <t>DRYU2290982|20 FT|DRY|ZONA</t>
  </si>
  <si>
    <t>TEMU2705206|20 FT|DRY|ZONA</t>
  </si>
  <si>
    <t>OOLU1277580|20 FT|DRY|ZONA</t>
  </si>
  <si>
    <t>CXDU1107648|20 FT|DRY|ZONA</t>
  </si>
  <si>
    <t>TEMU2700586|20 FT|DRY|ZONA</t>
  </si>
  <si>
    <t>SIKU2947519|20 FT|DRY|ZONA</t>
  </si>
  <si>
    <t>TEMU2786023|20 FT|DRY|ZONA</t>
  </si>
  <si>
    <t>TRLU3610576|20 FT|DRY|ZONA</t>
  </si>
  <si>
    <t>CXDU1212730|20 FT|DRY|ZONA</t>
  </si>
  <si>
    <t>CCLU3714765|20 FT|DRY|ZONA</t>
  </si>
  <si>
    <t>EMCU6045503|20 FT|DRY|ZONA</t>
  </si>
  <si>
    <t>APZU3881939|20 FT|DRY|ZONA</t>
  </si>
  <si>
    <t>WLNU2915950|20 FT|DRY|ZONA</t>
  </si>
  <si>
    <t>OOLU1340682|20 FT|DRY|ZONA</t>
  </si>
  <si>
    <t>CRXU3129324|20 FT|DRY|ZONA</t>
  </si>
  <si>
    <t>TGHU3903379|20 FT|DRY|ZONA</t>
  </si>
  <si>
    <t>TEMU2694966|20 FT|DRY|ZONA</t>
  </si>
  <si>
    <t>TGHU1246275|20 FT|DRY|ZONA</t>
  </si>
  <si>
    <t>OOLU1740673|20 FT|DRY|ZONA</t>
  </si>
  <si>
    <t>CBHU4075632|20 FT|DRY|ZONA</t>
  </si>
  <si>
    <t>PCIU3619236|20 FT|DRY|ZONA</t>
  </si>
  <si>
    <t>OOLU1344760|20 FT|DRY|ZONA</t>
  </si>
  <si>
    <t>BMOU2715582|20 FT|DRY|ZONA</t>
  </si>
  <si>
    <t>OOLU1411889|20 FT|DRY|ZONA</t>
  </si>
  <si>
    <t>OOLU1403137|20 FT|DRY|ZONA</t>
  </si>
  <si>
    <t>FCIU4398459|20 FT|DRY|ZONA</t>
  </si>
  <si>
    <t>SEGU3047063|20 FT|DRY|ZONA</t>
  </si>
  <si>
    <t>BMOU4857328|40 FT|DRY|ZONA</t>
  </si>
  <si>
    <t>OOLU1612414|20 FT|DRY|ZONA</t>
  </si>
  <si>
    <t>CRXU1274494|20 FT|DRY|ZONA</t>
  </si>
  <si>
    <t>HJLU1381554|20 FT|DRY|ZONA</t>
  </si>
  <si>
    <t>WHLU0249308|20 FT|DRY|ZONA</t>
  </si>
  <si>
    <t>OOLU1158765|20 FT|DRY|ZONA</t>
  </si>
  <si>
    <t>OOLU1572688|20 FT|DRY|ZONA</t>
  </si>
  <si>
    <t>TGHU3117301|20 FT|DRY|ZONA</t>
  </si>
  <si>
    <t>TGHU0115584|20 FT|DRY|ZONA</t>
  </si>
  <si>
    <t>WHLU0321315|20 FT|DRY|ZONA</t>
  </si>
  <si>
    <t>HJCU8366998|20 FT|DRY|ZONA</t>
  </si>
  <si>
    <t>IPXU3219902|20 FT|DRY|ZONA</t>
  </si>
  <si>
    <t>HMCU3062032|20 FT|DRY|ZONA</t>
  </si>
  <si>
    <t>ZONA9900166|20 FT|DRY|ZONA</t>
  </si>
  <si>
    <t>FORU2119067|20 FT|DRY|ZONA</t>
  </si>
  <si>
    <t>GESU1041971|20 FT|DRY|ZONA</t>
  </si>
  <si>
    <t>OOLU1539437|20 FT|DRY|ZONA</t>
  </si>
  <si>
    <t>MEDU1231882|20 FT|DRY|ZONA</t>
  </si>
  <si>
    <t>WHLU0274023|20 FT|DRY|ZONA</t>
  </si>
  <si>
    <t>DRYU9663938|40 FT|DRY|ZONA</t>
  </si>
  <si>
    <t>CAXU6266922|20 FT|DRY|ZONA</t>
  </si>
  <si>
    <t>OOLU1608327|20 FT|DRY|ZONA</t>
  </si>
  <si>
    <t>PCIU2544528|20 FT|DRY|ZONA</t>
  </si>
  <si>
    <t>TGHU2740169|20 FT|DRY|ZONA</t>
  </si>
  <si>
    <t>TGHU1501998|20 FT|DRY|ZONA</t>
  </si>
  <si>
    <t>BMOU2472395|20 FT|DRY|ZONA</t>
  </si>
  <si>
    <t>OOLU1707000|20 FT|DRY|ZONA</t>
  </si>
  <si>
    <t>CAIU2459705|20 FT|DRY|ZONA</t>
  </si>
  <si>
    <t>GVCU2190099|20 FT|DRY|ZONA</t>
  </si>
  <si>
    <t>CBHU5915368|20 FT|DRY|ZONA</t>
  </si>
  <si>
    <t>MSKU2085390|20 FT|DRY|ZONA</t>
  </si>
  <si>
    <t>TGHU0187542|20 FT|DRY|ZONA</t>
  </si>
  <si>
    <t>WHLU0330050|20 FT|DRY|ZONA</t>
  </si>
  <si>
    <t>GESU3267124|20 FT|DRY|ZONA</t>
  </si>
  <si>
    <t>GESU3025624|20 FT|DRY|ZONA</t>
  </si>
  <si>
    <t>TEMU2345199|20 FT|DRY|ZONA</t>
  </si>
  <si>
    <t>OOLU1408611|20 FT|DRY|ZONA</t>
  </si>
  <si>
    <t>TGHU2978820|20 FT|DRY|ZONA</t>
  </si>
  <si>
    <t>IPXU3337715|20 FT|DRY|ZONA</t>
  </si>
  <si>
    <t>CXDU1073297|20 FT|DRY|ZONA</t>
  </si>
  <si>
    <t>SCZU7988569|20 FT|DRY|ZONA</t>
  </si>
  <si>
    <t>GATU1361748|20 FT|DRY|ZONA</t>
  </si>
  <si>
    <t>OOLU1741134|20 FT|DRY|ZONA</t>
  </si>
  <si>
    <t>TGHU2371292|20 FT|DRY|ZONA</t>
  </si>
  <si>
    <t>TGHU1228950|20 FT|DRY|ZONA</t>
  </si>
  <si>
    <t>CRXU1143128|20 FT|DRY|ZONA</t>
  </si>
  <si>
    <t>MSKU2536235|20 FT|DRY|ZONA</t>
  </si>
  <si>
    <t>CBHU3287642|20 FT|DRY|ZONA</t>
  </si>
  <si>
    <t>EISU2235920|20 FT|DRY|ZONA</t>
  </si>
  <si>
    <t>CAIU2427740|20 FT|DRY|ZONA</t>
  </si>
  <si>
    <t>WHLU0352189|20 FT|DRY|ZONA</t>
  </si>
  <si>
    <t>MSKU2130971|20 FT|DRY|ZONA</t>
  </si>
  <si>
    <t>DRYU2601908|20 FT|DRY|ZONA</t>
  </si>
  <si>
    <t>TEMU2815815|20 FT|DRY|ZONA</t>
  </si>
  <si>
    <t>CRXU3126372|20 FT|DRY|ZONA</t>
  </si>
  <si>
    <t>DFSU2284255|20 FT|DRY|ZONA</t>
  </si>
  <si>
    <t>BHSU2002332|20 FT|DRY|ZONA</t>
  </si>
  <si>
    <t>WHLU2234884|20 FT|DRY|ZONA</t>
  </si>
  <si>
    <t>CLHU3586854|20 FT|DRY|ZONA</t>
  </si>
  <si>
    <t>TEMU2711087|20 FT|DRY|ZONA</t>
  </si>
  <si>
    <t>SEGU1927408|20 FT|DRY|ZONA</t>
  </si>
  <si>
    <t>OOLU1109816|20 FT|DRY|ZONA</t>
  </si>
  <si>
    <t>OOLU1386050|20 FT|DRY|ZONA</t>
  </si>
  <si>
    <t>OOLU1567737|20 FT|DRY|ZONA</t>
  </si>
  <si>
    <t>CXDU1284155|20 FT|DRY|ZONA</t>
  </si>
  <si>
    <t>GESU2832175|20 FT|DRY|ZONA</t>
  </si>
  <si>
    <t>MAGU2143474|20 FT|DRY|ZONA</t>
  </si>
  <si>
    <t>DRYU2525562|20 FT|DRY|ZONA</t>
  </si>
  <si>
    <t>TEMU2365908|20 FT|DRY|ZONA</t>
  </si>
  <si>
    <t>CXDU1232341|20 FT|DRY|ZONA</t>
  </si>
  <si>
    <t>BMOU2992442|20 FT|DRY|ZONA</t>
  </si>
  <si>
    <t>MAGU2140855|20 FT|DRY|ZONA</t>
  </si>
  <si>
    <t>SEGU1032845|20 FT|DRY|ZONA</t>
  </si>
  <si>
    <t>BMOU2484919|20 FT|DRY|ZONA</t>
  </si>
  <si>
    <t>HJCU8435466|20 FT|DRY|ZONA</t>
  </si>
  <si>
    <t>HJMU1939254|40 FT|DRY|ZONA</t>
  </si>
  <si>
    <t>FCGU2303605|20 FT|DRY|ZONA</t>
  </si>
  <si>
    <t>CPSU6444089|40 FT|DRY|ZONA</t>
  </si>
  <si>
    <t>HJCU1689432|40 FT|DRY|ZONA</t>
  </si>
  <si>
    <t>MAGU5159936|40 FT|DRY|ZONA</t>
  </si>
  <si>
    <t>GESU5347471|40 FT|DRY|ZONA</t>
  </si>
  <si>
    <t>FCIU9297034|40 FT|DRY|ZONA</t>
  </si>
  <si>
    <t>WSCU9620122|40 FT|DRY|ZONA</t>
  </si>
  <si>
    <t>BMOU2369875|20 FT|DRY|ZONA</t>
  </si>
  <si>
    <t>XXXU9902224|40 FT|DRY|ZONA</t>
  </si>
  <si>
    <t>CAIU8449812|40 FT|DRY|ZONA</t>
  </si>
  <si>
    <t>BAXU5014252|40 FT|DRY|ZONA</t>
  </si>
  <si>
    <t>DRYU9057890|40 FT|DRY|ZONA</t>
  </si>
  <si>
    <t>XNKU6578436|40 FT|DRY|ZONA</t>
  </si>
  <si>
    <t>CLHU8770951|40 FT|DRY|ZONA</t>
  </si>
  <si>
    <t>PCIU8220486|40 FT|DRY|ZONA</t>
  </si>
  <si>
    <t>FSCU9984410|40 FT|DRY|ZONA</t>
  </si>
  <si>
    <t>FCIU8617853|40 FT|DRY|ZONA</t>
  </si>
  <si>
    <t>GATU8673500|40 FT|DRY|ZONA</t>
  </si>
  <si>
    <t>APHU6354991|40 FT|DRY|ZONA</t>
  </si>
  <si>
    <t>TGHU0339239|20 FT|DRY|ZONA</t>
  </si>
  <si>
    <t>TGHU1237083|20 FT|DRY|ZONA</t>
  </si>
  <si>
    <t>INKU5616393|40 FT|DRY|ZONA</t>
  </si>
  <si>
    <t>TRLU5548102|40 FT|DRY|ZONA</t>
  </si>
  <si>
    <t>TCKU9876510|40 FT|DRY|ZONA</t>
  </si>
  <si>
    <t>KPHU7109793|40 FT|DRY|ZONA</t>
  </si>
  <si>
    <t>CMAU1662557|20 FT|DRY|ZONA</t>
  </si>
  <si>
    <t>WHLU0302969|20 FT|DRY|ZONA</t>
  </si>
  <si>
    <t>CRXU1976356|20 FT|DRY|ZONA</t>
  </si>
  <si>
    <t>ECMU9583863|40 FT|DRY|ZONA</t>
  </si>
  <si>
    <t>DRYU9138652|40 FT|DRY|ZONA</t>
  </si>
  <si>
    <t>CAXU9360911|40 FT|DRY|ZONA</t>
  </si>
  <si>
    <t>CCLU6168328|40 FT|DRY|ZONA</t>
  </si>
  <si>
    <t>OOLU1611568|20 FT|DRY|ZONA</t>
  </si>
  <si>
    <t>OOLU1551638|20 FT|DRY|ZONA</t>
  </si>
  <si>
    <t>GATU0162973|20 FT|DRY|ZONA</t>
  </si>
  <si>
    <t>BMOU2473067|20 FT|DRY|ZONA</t>
  </si>
  <si>
    <t>INBU3895064|20 FT|DRY|ZONA</t>
  </si>
  <si>
    <t>FCIU2922510|20 FT|DRY|ZONA</t>
  </si>
  <si>
    <t>OOLU1377207|20 FT|DRY|ZONA</t>
  </si>
  <si>
    <t>CXDU1714430|20 FT|DRY|ZONA</t>
  </si>
  <si>
    <t>SNTU2009330|20 FT|DRY|ZONA</t>
  </si>
  <si>
    <t>DFSU2296934|20 FT|DRY|ZONA</t>
  </si>
  <si>
    <t>UGMU8580456|20 FT|DRY|ZONA</t>
  </si>
  <si>
    <t>CSLU1248756|20 FT|DRY|ZONA</t>
  </si>
  <si>
    <t>WSCU1620091|20 FT|DRY|ZONA</t>
  </si>
  <si>
    <t>MSCU3233255|20 FT|DRY|ZONA</t>
  </si>
  <si>
    <t>TGHU3320474|20 FT|DRY|ZONA</t>
  </si>
  <si>
    <t>BMOU2005913|20 FT|DRY|ZONA</t>
  </si>
  <si>
    <t>WHLU0328182|20 FT|DRY|ZONA</t>
  </si>
  <si>
    <t>TRLU3680188|20 FT|DRY|ZONA</t>
  </si>
  <si>
    <t>OOLU1373156|20 FT|DRY|ZONA</t>
  </si>
  <si>
    <t>TGHU9095827|40 FT|DRY|ZONA</t>
  </si>
  <si>
    <t>EITU1408367|40 FT|DRY|ZONA</t>
  </si>
  <si>
    <t>CAIU3002816|20 FT|DRY|ZONA</t>
  </si>
  <si>
    <t>TCNU9609518|40 FT|DRY|ZONA</t>
  </si>
  <si>
    <t>WHLU2750453|20 FT|DRY|ZONA</t>
  </si>
  <si>
    <t>SEGU1414719|20 FT|DRY|ZONA</t>
  </si>
  <si>
    <t>CMAU1729706|20 FT|DRY|ZONA</t>
  </si>
  <si>
    <t>DRYU9919974|40 FT|DRY|ZONA</t>
  </si>
  <si>
    <t>KMTU7362381|20 FT|DRY|ZONA</t>
  </si>
  <si>
    <t>FORU8134330|20 FT|DRY|ZONA</t>
  </si>
  <si>
    <t>CAXU9357667|40 FT|DRY|ZONA</t>
  </si>
  <si>
    <t>GLDU0653963|40 FT|DRY|ZONA</t>
  </si>
  <si>
    <t>OOLU1683568|20 FT|DRY|ZONA</t>
  </si>
  <si>
    <t>CXDU1188547|20 FT|DRY|ZONA</t>
  </si>
  <si>
    <t>CAXU9263315|40 FT|DRY|ZONA</t>
  </si>
  <si>
    <t>CXDU1285742|20 FT|DRY|ZONA</t>
  </si>
  <si>
    <t>OOLU1731120|20 FT|DRY|ZONA</t>
  </si>
  <si>
    <t>GATU1328713|20 FT|DRY|ZONA</t>
  </si>
  <si>
    <t>IPXU3145585|20 FT|DRY|ZONA</t>
  </si>
  <si>
    <t>FCIU3378843|20 FT|DRY|ZONA</t>
  </si>
  <si>
    <t>CSLU1081653|20 FT|DRY|ZONA</t>
  </si>
  <si>
    <t>CAIU2441809|20 FT|DRY|ZONA</t>
  </si>
  <si>
    <t>SEGU1415452|20 FT|DRY|ZONA</t>
  </si>
  <si>
    <t>BMOU2546841|20 FT|DRY|ZONA</t>
  </si>
  <si>
    <t>KMTU7235941|20 FT|DRY|ZONA</t>
  </si>
  <si>
    <t>CCLU3903413|20 FT|DRY|ZONA</t>
  </si>
  <si>
    <t>GESU1048600|20 FT|DRY|ZONA</t>
  </si>
  <si>
    <t>TGHU3123011|20 FT|DRY|ZONA</t>
  </si>
  <si>
    <t>EISU2161180|20 FT|DRY|ZONA</t>
  </si>
  <si>
    <t>SEGU1415952|20 FT|DRY|ZONA</t>
  </si>
  <si>
    <t>EMCU3571588|20 FT|DRY|ZONA</t>
  </si>
  <si>
    <t>CRSU1117174|20 FT|DRY|ZONA</t>
  </si>
  <si>
    <t>IRNU3692251|20 FT|DRY|ZONA</t>
  </si>
  <si>
    <t>TGHU2894328|20 FT|DRY|ZONA</t>
  </si>
  <si>
    <t>ZONA2821420|20 FT|DRY|ZONA</t>
  </si>
  <si>
    <t>TEMU2703707|20 FT|DRY|ZONA</t>
  </si>
  <si>
    <t>TEMU4280728|20 FT|DRY|ZONA</t>
  </si>
  <si>
    <t>GSTU5111867|20 FT|DRY|ZONA</t>
  </si>
  <si>
    <t>CRXU3121030|20 FT|DRY|ZONA</t>
  </si>
  <si>
    <t>SEGU1076951|20 FT|DRY|ZONA</t>
  </si>
  <si>
    <t>PONU0713265|20 FT|DRY|ZONA</t>
  </si>
  <si>
    <t>TEMU2734267|20 FT|DRY|ZONA</t>
  </si>
  <si>
    <t>XINU1583346|20 FT|DRY|ZONA</t>
  </si>
  <si>
    <t>CRXU1509670|20 FT|DRY|ZONA</t>
  </si>
  <si>
    <t>BMOU2210712|20 FT|DRY|ZONA</t>
  </si>
  <si>
    <t>MAGU5226741|40 FT|DRY|ZONA</t>
  </si>
  <si>
    <t>KMTU7353435|20 FT|DRY|ZONA</t>
  </si>
  <si>
    <t>BMOU2694710|20 FT|DRY|ZONA</t>
  </si>
  <si>
    <t>CRXU1526087|20 FT|DRY|ZONA</t>
  </si>
  <si>
    <t>OOLU1711021|20 FT|DRY|ZONA</t>
  </si>
  <si>
    <t>OOLU1334735|20 FT|DRY|ZONA</t>
  </si>
  <si>
    <t>TGHU1716091|20 FT|DRY|ZONA</t>
  </si>
  <si>
    <t>WHLU0319684|20 FT|DRY|ZONA</t>
  </si>
  <si>
    <t>TEMU2741625|20 FT|DRY|ZONA</t>
  </si>
  <si>
    <t>TGHU0724549|20 FT|DRY|ZONA</t>
  </si>
  <si>
    <t>TLHU0635822|20 FT|DRY|ZONA</t>
  </si>
  <si>
    <t>TEXU3773019|20 FT|DRY|ZONA</t>
  </si>
  <si>
    <t>GATU1326496|20 FT|DRY|ZONA</t>
  </si>
  <si>
    <t>TGHU3526470|20 FT|DRY|ZONA</t>
  </si>
  <si>
    <t>OOLU1629952|20 FT|DRY|ZONA</t>
  </si>
  <si>
    <t>CLHU3405215|20 FT|DRY|ZONA</t>
  </si>
  <si>
    <t>BMOU2383868|20 FT|DRY|ZONA</t>
  </si>
  <si>
    <t>TEMU3000416|20 FT|DRY|ZONA</t>
  </si>
  <si>
    <t>FORU2928760|20 FT|DRY|ZONA</t>
  </si>
  <si>
    <t>HDMU2486260|20 FT|DRY|ZONA</t>
  </si>
  <si>
    <t>TEMU2365488|20 FT|DRY|ZONA</t>
  </si>
  <si>
    <t>GLDU5758437|20 FT|DRY|ZONA</t>
  </si>
  <si>
    <t>CAXU3332208|20 FT|DRY|ZONA</t>
  </si>
  <si>
    <t>CLHU3389726|20 FT|DRY|ZONA</t>
  </si>
  <si>
    <t>FORU8416289|20 FT|DRY|ZONA</t>
  </si>
  <si>
    <t>CRXU3248180|20 FT|DRY|ZONA</t>
  </si>
  <si>
    <t>GLDU9422008|20 FT|DRY|ZONA</t>
  </si>
  <si>
    <t>TEMU2326809|20 FT|DRY|ZONA</t>
  </si>
  <si>
    <t>ZONA6987793|20 FT|DRY|ZONA</t>
  </si>
  <si>
    <t>TGHU2560110|20 FT|DRY|ZONA</t>
  </si>
  <si>
    <t>ZONA5956855|20 FT|DRY|ZONA</t>
  </si>
  <si>
    <t>INBU3660990|20 FT|DRY|ZONA</t>
  </si>
  <si>
    <t>ZONA2846187|20 FT|DRY|ZONA</t>
  </si>
  <si>
    <t>CRXU3167129|20 FT|DRY|ZONA</t>
  </si>
  <si>
    <t>ZONA6956855|20 FT|DRY|ZONA</t>
  </si>
  <si>
    <t>TGHU0131970|20 FT|DRY|ZONA</t>
  </si>
  <si>
    <t>GESU1136336|20 FT|DRY|ZONA</t>
  </si>
  <si>
    <t>CRSU1421799|20 FT|DRY|ZONA</t>
  </si>
  <si>
    <t>OOLU1578109|20 FT|DRY|ZONA</t>
  </si>
  <si>
    <t>FCIU2405311|20 FT|DRY|ZONA</t>
  </si>
  <si>
    <t>CRSU1468543|20 FT|DRY|ZONA</t>
  </si>
  <si>
    <t>WFHU1240962|20 FT|DRY|ZONA</t>
  </si>
  <si>
    <t>TEMU2775184|20 FT|DRY|ZONA</t>
  </si>
  <si>
    <t>PCIU3056343|20 FT|DRY|ZONA</t>
  </si>
  <si>
    <t>BMOU2475368|20 FT|DRY|ZONA</t>
  </si>
  <si>
    <t>TTNU3073288|20 FT|DRY|ZONA</t>
  </si>
  <si>
    <t>EISU3999218|20 FT|DRY|ZONA</t>
  </si>
  <si>
    <t>GESU3638380|20 FT|DRY|ZONA</t>
  </si>
  <si>
    <t>EISU3944703|20 FT|DRY|ZONA</t>
  </si>
  <si>
    <t>CLHU3912950|20 FT|DRY|ZONA</t>
  </si>
  <si>
    <t>CLHU3164099|20 FT|DRY|ZONA</t>
  </si>
  <si>
    <t>XINU1085662|20 FT|DRY|ZONA</t>
  </si>
  <si>
    <t>BMOU2448486|20 FT|DRY|ZONA</t>
  </si>
  <si>
    <t>OOLU1623960|20 FT|DRY|ZONA</t>
  </si>
  <si>
    <t>TEMU2346554|20 FT|DRY|ZONA</t>
  </si>
  <si>
    <t>BMOU2014772|20 FT|DRY|ZONA</t>
  </si>
  <si>
    <t>DRYU2302717|20 FT|DRY|ZONA</t>
  </si>
  <si>
    <t>BMOU2894370|20 FT|DRY|ZONA</t>
  </si>
  <si>
    <t>MRLU2278060|20 FT|DRY|ZONA</t>
  </si>
  <si>
    <t>TRLU8986930|20 FT|DRY|ZONA</t>
  </si>
  <si>
    <t>GESU3033949|20 FT|DRY|ZONA</t>
  </si>
  <si>
    <t>TEMU3258062|20 FT|DRY|ZONA</t>
  </si>
  <si>
    <t>CCLU3559801|20 FT|DRY|ZONA</t>
  </si>
  <si>
    <t>MSKU2016552|20 FT|DRY|ZONA</t>
  </si>
  <si>
    <t>ZONA4206507|20 FT|DRY|ZONA</t>
  </si>
  <si>
    <t>SEGU1028779|20 FT|DRY|ZONA</t>
  </si>
  <si>
    <t>DRYU2203289|20 FT|DRY|ZONA</t>
  </si>
  <si>
    <t>DRYU2372740|20 FT|DRY|ZONA</t>
  </si>
  <si>
    <t>EISU3946650|20 FT|DRY|ZONA</t>
  </si>
  <si>
    <t>ZCIU3851180|20 FT|DRY|ZONA</t>
  </si>
  <si>
    <t>RFCU2069151|20 FT|DRY|ZONA</t>
  </si>
  <si>
    <t>CRXU1276218|20 FT|DRY|ZONA</t>
  </si>
  <si>
    <t>DRYU2244842|20 FT|DRY|ZONA</t>
  </si>
  <si>
    <t>DRYU2121745|20 FT|DRY|ZONA</t>
  </si>
  <si>
    <t>TGHU1423468|20 FT|DRY|ZONA</t>
  </si>
  <si>
    <t>DRYU2456184|20 FT|DRY|ZONA</t>
  </si>
  <si>
    <t>BMOU2858623|20 FT|DRY|ZONA</t>
  </si>
  <si>
    <t>DRYU2297570|20 FT|DRY|ZONA</t>
  </si>
  <si>
    <t>CXDU1319457|20 FT|DRY|ZONA</t>
  </si>
  <si>
    <t>DRYU2571737|20 FT|DRY|ZONA</t>
  </si>
  <si>
    <t>EMCU3978402|20 FT|DRY|ZONA</t>
  </si>
  <si>
    <t>TGHU1681760|20 FT|DRY|ZONA</t>
  </si>
  <si>
    <t>TEMU2365317|20 FT|DRY|ZONA</t>
  </si>
  <si>
    <t>DAVU9088014|20 FT|DRY|ZONA</t>
  </si>
  <si>
    <t>WHLU0296911|20 FT|DRY|ZONA</t>
  </si>
  <si>
    <t>CRXU1280141|20 FT|DRY|ZONA</t>
  </si>
  <si>
    <t>FSCU3182248|20 FT|DRY|ZONA</t>
  </si>
  <si>
    <t>WHLU0293635|20 FT|DRY|ZONA</t>
  </si>
  <si>
    <t>GESU3600488|20 FT|DRY|ZONA</t>
  </si>
  <si>
    <t>DRYU2301710|20 FT|DRY|ZONA</t>
  </si>
  <si>
    <t>BSIU2946381|20 FT|DRY|ZONA</t>
  </si>
  <si>
    <t>SCMU2082204|20 FT|DRY|ZONA</t>
  </si>
  <si>
    <t>TGHU3280303|20 FT|DRY|ZONA</t>
  </si>
  <si>
    <t>DRYU2359184|20 FT|DRY|ZONA</t>
  </si>
  <si>
    <t>TGHU3090730|20 FT|DRY|ZONA</t>
  </si>
  <si>
    <t>GESU5841930|40 FT|DRY|ZONA</t>
  </si>
  <si>
    <t>AMFU3153115|20 FT|DRY|ZONA</t>
  </si>
  <si>
    <t>TCLU2042620|20 FT|DRY|ZONA</t>
  </si>
  <si>
    <t>TGHU0397343|20 FT|DRY|ZONA</t>
  </si>
  <si>
    <t>CBHU5836757|20 FT|DRY|ZONA</t>
  </si>
  <si>
    <t>MLCU2462418|20 FT|DRY|ZONA</t>
  </si>
  <si>
    <t>EISU3948885|20 FT|DRY|ZONA</t>
  </si>
  <si>
    <t>CXDU1599110|20 FT|DRY|ZONA</t>
  </si>
  <si>
    <t>OOLU1626995|20 FT|DRY|ZONA</t>
  </si>
  <si>
    <t>FSCU7800508|20 FT|DRY|ZONA</t>
  </si>
  <si>
    <t>TGHU1717713|20 FT|DRY|ZONA</t>
  </si>
  <si>
    <t>EISU2158356|20 FT|DRY|ZONA</t>
  </si>
  <si>
    <t>TEMU0281346|20 FT|DRY|ZONA</t>
  </si>
  <si>
    <t>SCZU7953710|20 FT|DRY|ZONA</t>
  </si>
  <si>
    <t>PCIU3062109|20 FT|DRY|ZONA</t>
  </si>
  <si>
    <t>WHLU0273177|20 FT|DRY|ZONA</t>
  </si>
  <si>
    <t>OOLU1531987|20 FT|DRY|ZONA</t>
  </si>
  <si>
    <t>FSCU3188248|20 FT|DRY|ZONA</t>
  </si>
  <si>
    <t>CLHU8329484|40 FT|DRY|ZONA</t>
  </si>
  <si>
    <t>ZIMU1254647|20 FT|DRY|ZONA</t>
  </si>
  <si>
    <t>TGHU0466803|20 FT|DRY|ZONA</t>
  </si>
  <si>
    <t>MSKU2316009|20 FT|DRY|ZONA</t>
  </si>
  <si>
    <t>GLDU3012705|20 FT|DRY|ZONA</t>
  </si>
  <si>
    <t>HDMU6532450|40 FT|DRY|ZONA</t>
  </si>
  <si>
    <t>TEMU2705422|20 FT|DRY|ZONA</t>
  </si>
  <si>
    <t>UESU2201580|20 FT|DRY|ZONA</t>
  </si>
  <si>
    <t>GESU3057370|20 FT|DRY|ZONA</t>
  </si>
  <si>
    <t>MSKU3438911|20 FT|DRY|ZONA</t>
  </si>
  <si>
    <t>FCIU3500360|20 FT|DRY|ZONA</t>
  </si>
  <si>
    <t>FSCU7399777|20 FT|DRY|ZONA</t>
  </si>
  <si>
    <t>TEMU2248820|20 FT|DRY|ZONA</t>
  </si>
  <si>
    <t>CCLU3588543|20 FT|DRY|ZONA</t>
  </si>
  <si>
    <t>PCIU8294513|40 FT|DRY|ZONA</t>
  </si>
  <si>
    <t>AXIU2933779|20 FT|DRY|ZONA</t>
  </si>
  <si>
    <t>ILSU2019602|20 FT|DRY|ZONA</t>
  </si>
  <si>
    <t>CMAU1019685|20 FT|DRY|ZONA</t>
  </si>
  <si>
    <t>CRXU1925472|20 FT|DRY|ZONA</t>
  </si>
  <si>
    <t>CXDU1227514|20 FT|DRY|ZONA</t>
  </si>
  <si>
    <t>CPSU1828517|20 FT|DRY|ZONA</t>
  </si>
  <si>
    <t>HDMU6866817|40 FT|DRY|ZONA</t>
  </si>
  <si>
    <t>CSLU1391880|20 FT|DRY|ZONA</t>
  </si>
  <si>
    <t>PONU0848960|20 FT|DRY|ZONA</t>
  </si>
  <si>
    <t>GESU2928512|20 FT|DRY|ZONA</t>
  </si>
  <si>
    <t>TEMU2346209|20 FT|DRY|ZONA</t>
  </si>
  <si>
    <t>GATU1329788|20 FT|DRY|ZONA</t>
  </si>
  <si>
    <t>BMOU2422100|20 FT|DRY|ZONA</t>
  </si>
  <si>
    <t>EISU2127714|20 FT|DRY|ZONA</t>
  </si>
  <si>
    <t>GESU2957357|20 FT|DRY|ZONA</t>
  </si>
  <si>
    <t>FORU8487209|20 FT|DRY|ZONA</t>
  </si>
  <si>
    <t>WSCU7720837|40 FT|DRY|ZONA</t>
  </si>
  <si>
    <t>MOMU2206221|20 FT|DRY|ZONA</t>
  </si>
  <si>
    <t>GESU3317035|20 FT|DRY|ZONA</t>
  </si>
  <si>
    <t>CSLU1034060|20 FT|DRY|ZONA</t>
  </si>
  <si>
    <t>CSLU1244909|20 FT|DRY|ZONA</t>
  </si>
  <si>
    <t>SEGU1019925|20 FT|DRY|ZONA</t>
  </si>
  <si>
    <t>DRYU2211480|20 FT|DRY|ZONA</t>
  </si>
  <si>
    <t>SEGU1410190|20 FT|DRY|ZONA</t>
  </si>
  <si>
    <t>TGHU1845843|20 FT|DRY|ZONA</t>
  </si>
  <si>
    <t>BMOU2419699|20 FT|DRY|ZONA</t>
  </si>
  <si>
    <t>MAGU5162020|20 FT|DRY|ZONA</t>
  </si>
  <si>
    <t>EISU2161766|20 FT|DRY|ZONA</t>
  </si>
  <si>
    <t>PONU0269269|20 FT|DRY|ZONA</t>
  </si>
  <si>
    <t>FORU2940998|20 FT|DRY|ZONA</t>
  </si>
  <si>
    <t>TEMU2353677|20 FT|DRY|ZONA</t>
  </si>
  <si>
    <t>BMOU4849385|40 FT|DRY|ZONA</t>
  </si>
  <si>
    <t>CMAU5728903|40 FT|DRY|ZONA</t>
  </si>
  <si>
    <t>CMAU5748751|40 FT|DRY|ZONA</t>
  </si>
  <si>
    <t>CMAU5754029|40 FT|DRY|ZONA</t>
  </si>
  <si>
    <t>CCLU3790425|20 FT|DRY|ZONA</t>
  </si>
  <si>
    <t>CMAU5731846|40 FT|DRY|ZONA</t>
  </si>
  <si>
    <t>GESU6015337|40 FT|DRY|ZONA</t>
  </si>
  <si>
    <t>CAIU8404905|40 FT|DRY|ZONA</t>
  </si>
  <si>
    <t>INKU6187694|40 FT|DRY|ZONA</t>
  </si>
  <si>
    <t>MSCU7684236|40 FT|DRY|ZONA</t>
  </si>
  <si>
    <t>TGHU8684951|40 FT|DRY|ZONA</t>
  </si>
  <si>
    <t>TCNU9260112|40 FT|DRY|ZONA</t>
  </si>
  <si>
    <t>CRSU9146899|40 FT|DRY|ZONA</t>
  </si>
  <si>
    <t>CAIU8355349|40 FT|DRY|ZONA</t>
  </si>
  <si>
    <t>CLHU9014619|40 FT|DRY|ZONA</t>
  </si>
  <si>
    <t>WFHU5194356|40 FT|DRY|ZONA</t>
  </si>
  <si>
    <t>GESU6223140|40 FT|DRY|ZONA</t>
  </si>
  <si>
    <t>CXDU1285505|20 FT|DRY|ZONA</t>
  </si>
  <si>
    <t>TEMU2817361|20 FT|DRY|ZONA</t>
  </si>
  <si>
    <t>GATU8306850|20 FT|DRY|ZONA</t>
  </si>
  <si>
    <t>CSLU1034477|20 FT|DRY|ZONA</t>
  </si>
  <si>
    <t>TRLU9641743|20 FT|DRY|ZONA</t>
  </si>
  <si>
    <t>CLHU8142467|40 FT|DRY|ZONA</t>
  </si>
  <si>
    <t>TEMU2869935|20 FT|DRY|ZONA</t>
  </si>
  <si>
    <t>FCIU2313088|20 FT|DRY|ZONA</t>
  </si>
  <si>
    <t>MSKU2309817|20 FT|DRY|ZONA</t>
  </si>
  <si>
    <t>MAGU2132839|20 FT|DRY|ZONA</t>
  </si>
  <si>
    <t>DFSU2857341|20 FT|DRY|ZONA</t>
  </si>
  <si>
    <t>XINU1181856|20 FT|DRY|ZONA</t>
  </si>
  <si>
    <t>CBHU5962626|20 FT|DRY|ZONA</t>
  </si>
  <si>
    <t>TGHU0149096|20 FT|DRY|ZONA</t>
  </si>
  <si>
    <t>OOLU1446632|20 FT|DRY|ZONA</t>
  </si>
  <si>
    <t>CRXU3216970|20 FT|DRY|ZONA</t>
  </si>
  <si>
    <t>TTNU2993656|20 FT|DRY|ZONA</t>
  </si>
  <si>
    <t>HLXU3378737|20 FT|DRY|ZONA</t>
  </si>
  <si>
    <t>GESU1426103|20 FT|DRY|ZONA</t>
  </si>
  <si>
    <t>MSKU2439111|20 FT|DRY|ZONA</t>
  </si>
  <si>
    <t>TEMU2744964|20 FT|DRY|ZONA</t>
  </si>
  <si>
    <t>YMLU3264150|20 FT|DRY|ZONA</t>
  </si>
  <si>
    <t>CBHU5536338|20 FT|DRY|ZONA</t>
  </si>
  <si>
    <t>OOLU1347732|20 FT|DRY|ZONA</t>
  </si>
  <si>
    <t>IRNU3613191|20 FT|DRY|ZONA</t>
  </si>
  <si>
    <t>WHLU0352424|20 FT|DRY|ZONA</t>
  </si>
  <si>
    <t>HDMU2463789|20 FT|DRY|ZONA</t>
  </si>
  <si>
    <t>RFCU2086380|20 FT|DRY|ZONA</t>
  </si>
  <si>
    <t>YMLU3217061|20 FT|DRY|ZONA</t>
  </si>
  <si>
    <t>TGHU1186920|20 FT|DRY|ZONA</t>
  </si>
  <si>
    <t>TGHU2390667|20 FT|DRY|ZONA</t>
  </si>
  <si>
    <t>WHLU0283787|20 FT|DRY|ZONA</t>
  </si>
  <si>
    <t>CXDU1267918|20 FT|DRY|ZONA</t>
  </si>
  <si>
    <t>MSKU2531260|20 FT|DRY|ZONA</t>
  </si>
  <si>
    <t>SEGU2878170|20 FT|DRY|ZONA</t>
  </si>
  <si>
    <t>EGHU3058499|20 FT|DRY|ZONA</t>
  </si>
  <si>
    <t>CXDU1430840|20 FT|DRY|ZONA</t>
  </si>
  <si>
    <t>CSLU1114398|20 FT|DRY|ZONA</t>
  </si>
  <si>
    <t>ZGXU2279655|20 FT|DRY|ZONA</t>
  </si>
  <si>
    <t>GESU3499789|20 FT|DRY|ZONA</t>
  </si>
  <si>
    <t>FSCU9872744|40 FT|DRY|ZONA</t>
  </si>
  <si>
    <t>CCLU7441545|40 FT|DRY|ZONA</t>
  </si>
  <si>
    <t>RFCU2067014|20 FT|DRY|ZONA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</si>
</sst>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1" x14ac:knownFonts="1">
    <font>
      <sz val="8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82.77110740741" createdVersion="8" refreshedVersion="8" minRefreshableVersion="3" recordCount="513" xr:uid="{E51E5836-3043-49E5-9729-82B77A70C3D8}">
  <cacheSource type="worksheet">
    <worksheetSource ref="K1:K514" sheet="Sheet1"/>
  </cacheSource>
  <cacheFields count="1">
    <cacheField name="X" numFmtId="0">
      <sharedItems count="1456">
        <s v="GESU5114504|40 FT|High Cube|ZONA"/>
        <s v="MSKU4555445|40 FT|High Cube|ZONA"/>
        <s v="GESU5570090|40 FT|High Cube|ZONA"/>
        <s v="BPLU1210002|40 FT|High Cube|ZONA"/>
        <s v="GESU5508370|40 FT|High Cube|ZONA"/>
        <s v="TGHU6130478|40 FT|High Cube|ZONA"/>
        <s v="UESU4688707|40 FT|High Cube|ZONA"/>
        <s v="HJMU1531909|40 FT|High Cube|ZONA"/>
        <s v="NYKU6973772|40 FT|High Cube|ZONA"/>
        <s v="FCIU9298391|40 FT|High Cube|ZONA"/>
        <s v="OOLU3687290|20 FT|DRY|ZONA"/>
        <s v="TEMU2740070|20 FT|DRY|ZONA"/>
        <s v="TGHU0833730|20 FT|DRY|ZONA"/>
        <s v="CBHU5700122|20 FT|DRY|ZONA"/>
        <s v="WHLU0201602|20 FT|DRY|ZONA"/>
        <s v="TEMU2863449|20 FT|DRY|ZONA"/>
        <s v="ECMU1819649|20 FT|DRY|ZONA"/>
        <s v="CRSU1412020|20 FT|DRY|ZONA"/>
        <s v="MSKU2582797|20 FT|DRY|ZONA"/>
        <s v="FCIU3493087|20 FT|DRY|ZONA"/>
        <s v="KKTU7693300|20 FT|DRY|ZONA"/>
        <s v="DNAU2622206|20 FT|DRY|ZONA"/>
        <s v="GLDU2104936|20 FT|DRY|ZONA"/>
        <s v="TGHU3988490|20 FT|DRY|ZONA"/>
        <s v="PCIU2898481|20 FT|DRY|ZONA"/>
        <s v="MAEU6957872|20 FT|DRY|ZONA"/>
        <s v="EMCU6038844|20 FT|DRY|ZONA"/>
        <s v="GESU3809117|20 FT|DRY|ZONA"/>
        <s v="EMCU3919740|20 FT|DRY|ZONA"/>
        <s v="OOLU1536654|20 FT|DRY|ZONA"/>
        <s v="APLS2972932|20 FT|DRY|ZONA"/>
        <s v="TEMU2697250|20 FT|DRY|ZONA"/>
        <s v="GESU2615101|20 FT|DRY|ZONA"/>
        <s v="DRYU2292882|20 FT|DRY|ZONA"/>
        <s v="GATU1056446|20 FT|DRY|ZONA"/>
        <s v="TEXU3796647|20 FT|DRY|ZONA"/>
        <s v="UESU2310702|20 FT|DRY|ZONA"/>
        <s v="FORU2024779|20 FT|DRY|ZONA"/>
        <s v="GESU3042262|20 FT|DRY|ZONA"/>
        <s v="TEMU3769890|20 FT|DRY|ZONA"/>
        <s v="CRXU3064959|20 FT|DRY|ZONA"/>
        <s v="DRYU2524550|20 FT|DRY|ZONA"/>
        <s v="TEMU2353770|20 FT|DRY|ZONA"/>
        <s v="TEXU3818073|20 FT|DRY|ZONA"/>
        <s v="CBHU5604788|20 FT|DRY|ZONA"/>
        <s v="OOLU1412308|20 FT|DRY|ZONA"/>
        <s v="CBHU3665634|20 FT|DRY|ZONA"/>
        <s v="OOLU1375333|20 FT|DRY|ZONA"/>
        <s v="CSLU1059942|20 FT|DRY|ZONA"/>
        <s v="CCLU3651034|20 FT|DRY|ZONA"/>
        <s v="FSCU7399144|20 FT|DRY|ZONA"/>
        <s v="FCIU2668909|20 FT|DRY|ZONA"/>
        <s v="CRXU1432964|20 FT|DRY|ZONA"/>
        <s v="CAIU2744385|20 FT|DRY|ZONA"/>
        <s v="EMCU6009872|20 FT|DRY|ZONA"/>
        <s v="OOLU1529866|20 FT|DRY|ZONA"/>
        <s v="TEMU2246827|20 FT|DRY|ZONA"/>
        <s v="SEGU1410375|20 FT|DRY|ZONA"/>
        <s v="CSLU1426586|20 FT|DRY|ZONA"/>
        <s v="MSKU3001238|20 FT|DRY|ZONA"/>
        <s v="OOLU1192163|20 FT|DRY|ZONA"/>
        <s v="CAIU2857756|20 FT|DRY|ZONA"/>
        <s v="TGHU2794648|20 FT|DRY|ZONA"/>
        <s v="CSLU1032520|20 FT|DRY|ZONA"/>
        <s v="CRXU3112086|20 FT|DRY|ZONA"/>
        <s v="TEMU2722517|20 FT|DRY|ZONA"/>
        <s v="TGHU1849896|20 FT|DRY|ZONA"/>
        <s v="TGHU3067258|20 FT|DRY|ZONA"/>
        <s v="WHLU0268015|20 FT|DRY|ZONA"/>
        <s v="GLDU9703366|20 FT|DRY|ZONA"/>
        <s v="DRYU2290982|20 FT|DRY|ZONA"/>
        <s v="TEMU2705206|20 FT|DRY|ZONA"/>
        <s v="OOLU1277580|20 FT|DRY|ZONA"/>
        <s v="CXDU1107648|20 FT|DRY|ZONA"/>
        <s v="TEMU2700586|20 FT|DRY|ZONA"/>
        <s v="SIKU2947519|20 FT|DRY|ZONA"/>
        <s v="TEMU2786023|20 FT|DRY|ZONA"/>
        <s v="TRLU3610576|20 FT|DRY|ZONA"/>
        <s v="CXDU1212730|20 FT|DRY|ZONA"/>
        <s v="CCLU3714765|20 FT|DRY|ZONA"/>
        <s v="EMCU6045503|20 FT|DRY|ZONA"/>
        <s v="APZU3881939|20 FT|DRY|ZONA"/>
        <s v="WLNU2915950|20 FT|DRY|ZONA"/>
        <s v="OOLU1340682|20 FT|DRY|ZONA"/>
        <s v="CRXU3129324|20 FT|DRY|ZONA"/>
        <s v="TGHU3903379|20 FT|DRY|ZONA"/>
        <s v="TEMU2694966|20 FT|DRY|ZONA"/>
        <s v="TGHU1246275|20 FT|DRY|ZONA"/>
        <s v="OOLU1740673|20 FT|DRY|ZONA"/>
        <s v="CBHU4075632|20 FT|DRY|ZONA"/>
        <s v="PCIU3619236|20 FT|DRY|ZONA"/>
        <s v="OOLU1344760|20 FT|DRY|ZONA"/>
        <s v="BMOU2715582|20 FT|DRY|ZONA"/>
        <s v="OOLU1411889|20 FT|DRY|ZONA"/>
        <s v="OOLU1403137|20 FT|DRY|ZONA"/>
        <s v="FCIU4398459|20 FT|DRY|ZONA"/>
        <s v="SEGU3047063|20 FT|DRY|ZONA"/>
        <s v="BMOU4857328|40 FT|DRY|ZONA"/>
        <s v="OOLU1612414|20 FT|DRY|ZONA"/>
        <s v="CRXU1274494|20 FT|DRY|ZONA"/>
        <s v="HJLU1381554|20 FT|DRY|ZONA"/>
        <s v="WHLU0249308|20 FT|DRY|ZONA"/>
        <s v="OOLU1158765|20 FT|DRY|ZONA"/>
        <s v="OOLU1572688|20 FT|DRY|ZONA"/>
        <s v="TGHU3117301|20 FT|DRY|ZONA"/>
        <s v="TGHU0115584|20 FT|DRY|ZONA"/>
        <s v="WHLU0321315|20 FT|DRY|ZONA"/>
        <s v="HJCU8366998|20 FT|DRY|ZONA"/>
        <s v="IPXU3219902|20 FT|DRY|ZONA"/>
        <s v="HMCU3062032|20 FT|DRY|ZONA"/>
        <s v="ZONA9900166|20 FT|DRY|ZONA"/>
        <s v="FORU2119067|20 FT|DRY|ZONA"/>
        <s v="GESU1041971|20 FT|DRY|ZONA"/>
        <s v="OOLU1539437|20 FT|DRY|ZONA"/>
        <s v="MEDU1231882|20 FT|DRY|ZONA"/>
        <s v="WHLU0274023|20 FT|DRY|ZONA"/>
        <s v="DRYU9663938|40 FT|DRY|ZONA"/>
        <s v="CAXU6266922|20 FT|DRY|ZONA"/>
        <s v="OOLU1608327|20 FT|DRY|ZONA"/>
        <s v="PCIU2544528|20 FT|DRY|ZONA"/>
        <s v="TGHU2740169|20 FT|DRY|ZONA"/>
        <s v="TGHU1501998|20 FT|DRY|ZONA"/>
        <s v="BMOU2472395|20 FT|DRY|ZONA"/>
        <s v="OOLU1707000|20 FT|DRY|ZONA"/>
        <s v="CAIU2459705|20 FT|DRY|ZONA"/>
        <s v="GVCU2190099|20 FT|DRY|ZONA"/>
        <s v="CBHU5915368|20 FT|DRY|ZONA"/>
        <s v="MSKU2085390|20 FT|DRY|ZONA"/>
        <s v="TGHU0187542|20 FT|DRY|ZONA"/>
        <s v="WHLU0330050|20 FT|DRY|ZONA"/>
        <s v="GESU3267124|20 FT|DRY|ZONA"/>
        <s v="GESU3025624|20 FT|DRY|ZONA"/>
        <s v="TEMU2345199|20 FT|DRY|ZONA"/>
        <s v="OOLU1408611|20 FT|DRY|ZONA"/>
        <s v="TGHU2978820|20 FT|DRY|ZONA"/>
        <s v="IPXU3337715|20 FT|DRY|ZONA"/>
        <s v="CXDU1073297|20 FT|DRY|ZONA"/>
        <s v="SCZU7988569|20 FT|DRY|ZONA"/>
        <s v="GATU1361748|20 FT|DRY|ZONA"/>
        <s v="OOLU1741134|20 FT|DRY|ZONA"/>
        <s v="TGHU2371292|20 FT|DRY|ZONA"/>
        <s v="TGHU1228950|20 FT|DRY|ZONA"/>
        <s v="CRXU1143128|20 FT|DRY|ZONA"/>
        <s v="MSKU2536235|20 FT|DRY|ZONA"/>
        <s v="CBHU3287642|20 FT|DRY|ZONA"/>
        <s v="EISU2235920|20 FT|DRY|ZONA"/>
        <s v="CAIU2427740|20 FT|DRY|ZONA"/>
        <s v="WHLU0352189|20 FT|DRY|ZONA"/>
        <s v="MSKU2130971|20 FT|DRY|ZONA"/>
        <s v="DRYU2601908|20 FT|DRY|ZONA"/>
        <s v="TEMU2815815|20 FT|DRY|ZONA"/>
        <s v="CRXU3126372|20 FT|DRY|ZONA"/>
        <s v="DFSU2284255|20 FT|DRY|ZONA"/>
        <s v="BHSU2002332|20 FT|DRY|ZONA"/>
        <s v="WHLU2234884|20 FT|DRY|ZONA"/>
        <s v="CLHU3586854|20 FT|DRY|ZONA"/>
        <s v="TEMU2711087|20 FT|DRY|ZONA"/>
        <s v="SEGU1927408|20 FT|DRY|ZONA"/>
        <s v="OOLU1109816|20 FT|DRY|ZONA"/>
        <s v="OOLU1386050|20 FT|DRY|ZONA"/>
        <s v="OOLU1567737|20 FT|DRY|ZONA"/>
        <s v="CXDU1284155|20 FT|DRY|ZONA"/>
        <s v="GESU2832175|20 FT|DRY|ZONA"/>
        <s v="MAGU2143474|20 FT|DRY|ZONA"/>
        <s v="DRYU2525562|20 FT|DRY|ZONA"/>
        <s v="TEMU2365908|20 FT|DRY|ZONA"/>
        <s v="CXDU1232341|20 FT|DRY|ZONA"/>
        <s v="BMOU2992442|20 FT|DRY|ZONA"/>
        <s v="MAGU2140855|20 FT|DRY|ZONA"/>
        <s v="SEGU1032845|20 FT|DRY|ZONA"/>
        <s v="BMOU2484919|20 FT|DRY|ZONA"/>
        <s v="HJCU8435466|20 FT|DRY|ZONA"/>
        <s v="HJMU1939254|40 FT|DRY|ZONA"/>
        <s v="FCGU2303605|20 FT|DRY|ZONA"/>
        <s v="CPSU6444089|40 FT|DRY|ZONA"/>
        <s v="HJCU1689432|40 FT|DRY|ZONA"/>
        <s v="MAGU5159936|40 FT|DRY|ZONA"/>
        <s v="GESU5347471|40 FT|DRY|ZONA"/>
        <s v="FCIU9297034|40 FT|DRY|ZONA"/>
        <s v="WSCU9620122|40 FT|DRY|ZONA"/>
        <s v="BMOU2369875|20 FT|DRY|ZONA"/>
        <s v="XXXU9902224|40 FT|DRY|ZONA"/>
        <s v="CAIU8449812|40 FT|DRY|ZONA"/>
        <s v="BAXU5014252|40 FT|DRY|ZONA"/>
        <s v="DRYU9057890|40 FT|DRY|ZONA"/>
        <s v="XNKU6578436|40 FT|DRY|ZONA"/>
        <s v="CLHU8770951|40 FT|DRY|ZONA"/>
        <s v="PCIU8220486|40 FT|DRY|ZONA"/>
        <s v="FSCU9984410|40 FT|DRY|ZONA"/>
        <s v="FCIU8617853|40 FT|DRY|ZONA"/>
        <s v="GATU8673500|40 FT|DRY|ZONA"/>
        <s v="APHU6354991|40 FT|DRY|ZONA"/>
        <s v="TGHU0339239|20 FT|DRY|ZONA"/>
        <s v="TGHU1237083|20 FT|DRY|ZONA"/>
        <s v="INKU5616393|40 FT|DRY|ZONA"/>
        <s v="TRLU5548102|40 FT|DRY|ZONA"/>
        <s v="TCKU9876510|40 FT|DRY|ZONA"/>
        <s v="KPHU7109793|40 FT|DRY|ZONA"/>
        <s v="CMAU1662557|20 FT|DRY|ZONA"/>
        <s v="WHLU0302969|20 FT|DRY|ZONA"/>
        <s v="CRXU1976356|20 FT|DRY|ZONA"/>
        <s v="ECMU9583863|40 FT|DRY|ZONA"/>
        <s v="DRYU9138652|40 FT|DRY|ZONA"/>
        <s v="CAXU9360911|40 FT|DRY|ZONA"/>
        <s v="CCLU6168328|40 FT|DRY|ZONA"/>
        <s v="OOLU1611568|20 FT|DRY|ZONA"/>
        <s v="OOLU1551638|20 FT|DRY|ZONA"/>
        <s v="GATU0162973|20 FT|DRY|ZONA"/>
        <s v="BMOU2473067|20 FT|DRY|ZONA"/>
        <s v="INBU3895064|20 FT|DRY|ZONA"/>
        <s v="FCIU2922510|20 FT|DRY|ZONA"/>
        <s v="OOLU1377207|20 FT|DRY|ZONA"/>
        <s v="CXDU1714430|20 FT|DRY|ZONA"/>
        <s v="SNTU2009330|20 FT|DRY|ZONA"/>
        <s v="DFSU2296934|20 FT|DRY|ZONA"/>
        <s v="UGMU8580456|20 FT|DRY|ZONA"/>
        <s v="CSLU1248756|20 FT|DRY|ZONA"/>
        <s v="WSCU1620091|20 FT|DRY|ZONA"/>
        <s v="MSCU3233255|20 FT|DRY|ZONA"/>
        <s v="TGHU3320474|20 FT|DRY|ZONA"/>
        <s v="BMOU2005913|20 FT|DRY|ZONA"/>
        <s v="WHLU0328182|20 FT|DRY|ZONA"/>
        <s v="TRLU3680188|20 FT|DRY|ZONA"/>
        <s v="OOLU1373156|20 FT|DRY|ZONA"/>
        <s v="TGHU9095827|40 FT|DRY|ZONA"/>
        <s v="EITU1408367|40 FT|DRY|ZONA"/>
        <s v="CAIU3002816|20 FT|DRY|ZONA"/>
        <s v="TCNU9609518|40 FT|DRY|ZONA"/>
        <s v="WHLU2750453|20 FT|DRY|ZONA"/>
        <s v="SEGU1414719|20 FT|DRY|ZONA"/>
        <s v="CMAU1729706|20 FT|DRY|ZONA"/>
        <s v="DRYU9919974|40 FT|DRY|ZONA"/>
        <s v="KMTU7362381|20 FT|DRY|ZONA"/>
        <s v="FORU8134330|20 FT|DRY|ZONA"/>
        <s v="CAXU9357667|40 FT|DRY|ZONA"/>
        <s v="GLDU0653963|40 FT|DRY|ZONA"/>
        <s v="OOLU1683568|20 FT|DRY|ZONA"/>
        <s v="CXDU1188547|20 FT|DRY|ZONA"/>
        <s v="CAXU9263315|40 FT|DRY|ZONA"/>
        <s v="CXDU1285742|20 FT|DRY|ZONA"/>
        <s v="OOLU1731120|20 FT|DRY|ZONA"/>
        <s v="GATU1328713|20 FT|DRY|ZONA"/>
        <s v="IPXU3145585|20 FT|DRY|ZONA"/>
        <s v="FCIU3378843|20 FT|DRY|ZONA"/>
        <s v="CSLU1081653|20 FT|DRY|ZONA"/>
        <s v="CAIU2441809|20 FT|DRY|ZONA"/>
        <s v="SEGU1415452|20 FT|DRY|ZONA"/>
        <s v="BMOU2546841|20 FT|DRY|ZONA"/>
        <s v="KMTU7235941|20 FT|DRY|ZONA"/>
        <s v="CCLU3903413|20 FT|DRY|ZONA"/>
        <s v="GESU1048600|20 FT|DRY|ZONA"/>
        <s v="TGHU3123011|20 FT|DRY|ZONA"/>
        <s v="EISU2161180|20 FT|DRY|ZONA"/>
        <s v="SEGU1415952|20 FT|DRY|ZONA"/>
        <s v="EMCU3571588|20 FT|DRY|ZONA"/>
        <s v="CRSU1117174|20 FT|DRY|ZONA"/>
        <s v="IRNU3692251|20 FT|DRY|ZONA"/>
        <s v="TGHU2894328|20 FT|DRY|ZONA"/>
        <s v="ZONA2821420|20 FT|DRY|ZONA"/>
        <s v="TEMU2703707|20 FT|DRY|ZONA"/>
        <s v="TEMU4280728|20 FT|DRY|ZONA"/>
        <s v="GSTU5111867|20 FT|DRY|ZONA"/>
        <s v="CRXU3121030|20 FT|DRY|ZONA"/>
        <s v="SEGU1076951|20 FT|DRY|ZONA"/>
        <s v="PONU0713265|20 FT|DRY|ZONA"/>
        <s v="TEMU2734267|20 FT|DRY|ZONA"/>
        <s v="XINU1583346|20 FT|DRY|ZONA"/>
        <s v="CRXU1509670|20 FT|DRY|ZONA"/>
        <s v="BMOU2210712|20 FT|DRY|ZONA"/>
        <s v="MAGU5226741|40 FT|DRY|ZONA"/>
        <s v="KMTU7353435|20 FT|DRY|ZONA"/>
        <s v="BMOU2694710|20 FT|DRY|ZONA"/>
        <s v="CRXU1526087|20 FT|DRY|ZONA"/>
        <s v="OOLU1711021|20 FT|DRY|ZONA"/>
        <s v="OOLU1334735|20 FT|DRY|ZONA"/>
        <s v="TGHU1716091|20 FT|DRY|ZONA"/>
        <s v="WHLU0319684|20 FT|DRY|ZONA"/>
        <s v="TEMU2741625|20 FT|DRY|ZONA"/>
        <s v="TGHU0724549|20 FT|DRY|ZONA"/>
        <s v="TLHU0635822|20 FT|DRY|ZONA"/>
        <s v="TEXU3773019|20 FT|DRY|ZONA"/>
        <s v="GATU1326496|20 FT|DRY|ZONA"/>
        <s v="TGHU3526470|20 FT|DRY|ZONA"/>
        <s v="OOLU1629952|20 FT|DRY|ZONA"/>
        <s v="CLHU3405215|20 FT|DRY|ZONA"/>
        <s v="BMOU2383868|20 FT|DRY|ZONA"/>
        <s v="TEMU3000416|20 FT|DRY|ZONA"/>
        <s v="FORU2928760|20 FT|DRY|ZONA"/>
        <s v="HDMU2486260|20 FT|DRY|ZONA"/>
        <s v="TEMU2365488|20 FT|DRY|ZONA"/>
        <s v="GLDU5758437|20 FT|DRY|ZONA"/>
        <s v="CAXU3332208|20 FT|DRY|ZONA"/>
        <s v="CLHU3389726|20 FT|DRY|ZONA"/>
        <s v="FORU8416289|20 FT|DRY|ZONA"/>
        <s v="CRXU3248180|20 FT|DRY|ZONA"/>
        <s v="GLDU9422008|20 FT|DRY|ZONA"/>
        <s v="TEMU2326809|20 FT|DRY|ZONA"/>
        <s v="ZONA6987793|20 FT|DRY|ZONA"/>
        <s v="TGHU2560110|20 FT|DRY|ZONA"/>
        <s v="ZONA5956855|20 FT|DRY|ZONA"/>
        <s v="INBU3660990|20 FT|DRY|ZONA"/>
        <s v="ZONA2846187|20 FT|DRY|ZONA"/>
        <s v="CRXU3167129|20 FT|DRY|ZONA"/>
        <s v="ZONA6956855|20 FT|DRY|ZONA"/>
        <s v="TGHU0131970|20 FT|DRY|ZONA"/>
        <s v="GESU1136336|20 FT|DRY|ZONA"/>
        <s v="CRSU1421799|20 FT|DRY|ZONA"/>
        <s v="OOLU1578109|20 FT|DRY|ZONA"/>
        <s v="FCIU2405311|20 FT|DRY|ZONA"/>
        <s v="CRSU1468543|20 FT|DRY|ZONA"/>
        <s v="WFHU1240962|20 FT|DRY|ZONA"/>
        <s v="TEMU2775184|20 FT|DRY|ZONA"/>
        <s v="PCIU3056343|20 FT|DRY|ZONA"/>
        <s v="BMOU2475368|20 FT|DRY|ZONA"/>
        <s v="TTNU3073288|20 FT|DRY|ZONA"/>
        <s v="EISU3999218|20 FT|DRY|ZONA"/>
        <s v="GESU3638380|20 FT|DRY|ZONA"/>
        <s v="EISU3944703|20 FT|DRY|ZONA"/>
        <s v="CLHU3912950|20 FT|DRY|ZONA"/>
        <s v="CLHU3164099|20 FT|DRY|ZONA"/>
        <s v="XINU1085662|20 FT|DRY|ZONA"/>
        <s v="BMOU2448486|20 FT|DRY|ZONA"/>
        <s v="OOLU1623960|20 FT|DRY|ZONA"/>
        <s v="TEMU2346554|20 FT|DRY|ZONA"/>
        <s v="BMOU2014772|20 FT|DRY|ZONA"/>
        <s v="DRYU2302717|20 FT|DRY|ZONA"/>
        <s v="BMOU2894370|20 FT|DRY|ZONA"/>
        <s v="MRLU2278060|20 FT|DRY|ZONA"/>
        <s v="TRLU8986930|20 FT|DRY|ZONA"/>
        <s v="GESU3033949|20 FT|DRY|ZONA"/>
        <s v="TEMU3258062|20 FT|DRY|ZONA"/>
        <s v="CCLU3559801|20 FT|DRY|ZONA"/>
        <s v="MSKU2016552|20 FT|DRY|ZONA"/>
        <s v="ZONA4206507|20 FT|DRY|ZONA"/>
        <s v="SEGU1028779|20 FT|DRY|ZONA"/>
        <s v="DRYU2203289|20 FT|DRY|ZONA"/>
        <s v="DRYU2372740|20 FT|DRY|ZONA"/>
        <s v="EISU3946650|20 FT|DRY|ZONA"/>
        <s v="ZCIU3851180|20 FT|DRY|ZONA"/>
        <s v="RFCU2069151|20 FT|DRY|ZONA"/>
        <s v="CRXU1276218|20 FT|DRY|ZONA"/>
        <s v="DRYU2244842|20 FT|DRY|ZONA"/>
        <s v="DRYU2121745|20 FT|DRY|ZONA"/>
        <s v="TGHU1423468|20 FT|DRY|ZONA"/>
        <s v="DRYU2456184|20 FT|DRY|ZONA"/>
        <s v="BMOU2858623|20 FT|DRY|ZONA"/>
        <s v="DRYU2297570|20 FT|DRY|ZONA"/>
        <s v="CXDU1319457|20 FT|DRY|ZONA"/>
        <s v="DRYU2571737|20 FT|DRY|ZONA"/>
        <s v="EMCU3978402|20 FT|DRY|ZONA"/>
        <s v="TGHU1681760|20 FT|DRY|ZONA"/>
        <s v="TEMU2365317|20 FT|DRY|ZONA"/>
        <s v="DAVU9088014|20 FT|DRY|ZONA"/>
        <s v="WHLU0296911|20 FT|DRY|ZONA"/>
        <s v="CRXU1280141|20 FT|DRY|ZONA"/>
        <s v="FSCU3182248|20 FT|DRY|ZONA"/>
        <s v="WHLU0293635|20 FT|DRY|ZONA"/>
        <s v="GESU3600488|20 FT|DRY|ZONA"/>
        <s v="DRYU2301710|20 FT|DRY|ZONA"/>
        <s v="BSIU2946381|20 FT|DRY|ZONA"/>
        <s v="SCMU2082204|20 FT|DRY|ZONA"/>
        <s v="TGHU3280303|20 FT|DRY|ZONA"/>
        <s v="DRYU2359184|20 FT|DRY|ZONA"/>
        <s v="TGHU3090730|20 FT|DRY|ZONA"/>
        <s v="GESU5841930|40 FT|DRY|ZONA"/>
        <s v="AMFU3153115|20 FT|DRY|ZONA"/>
        <s v="TCLU2042620|20 FT|DRY|ZONA"/>
        <s v="GESU5801429|40 FT|DRY|ZONA"/>
        <s v="TGHU0397343|20 FT|DRY|ZONA"/>
        <s v="CBHU5836757|20 FT|DRY|ZONA"/>
        <s v="MLCU2462418|20 FT|DRY|ZONA"/>
        <s v="EISU3948885|20 FT|DRY|ZONA"/>
        <s v="CXDU1599110|20 FT|DRY|ZONA"/>
        <s v="OOLU1626995|20 FT|DRY|ZONA"/>
        <s v="FSCU7800508|20 FT|DRY|ZONA"/>
        <s v="TGHU1717713|20 FT|DRY|ZONA"/>
        <s v="EISU2158356|20 FT|DRY|ZONA"/>
        <s v="TEMU0281346|20 FT|DRY|ZONA"/>
        <s v="SCZU7953710|20 FT|DRY|ZONA"/>
        <s v="PCIU3062109|20 FT|DRY|ZONA"/>
        <s v="WHLU0273177|20 FT|DRY|ZONA"/>
        <s v="OOLU1531987|20 FT|DRY|ZONA"/>
        <s v="FSCU3188248|20 FT|DRY|ZONA"/>
        <s v="CLHU8329484|40 FT|DRY|ZONA"/>
        <s v="ZIMU1254647|20 FT|DRY|ZONA"/>
        <s v="TGHU0466803|20 FT|DRY|ZONA"/>
        <s v="MSKU2316009|20 FT|DRY|ZONA"/>
        <s v="GLDU3012705|20 FT|DRY|ZONA"/>
        <s v="HDMU6532450|40 FT|DRY|ZONA"/>
        <s v="TEMU2705422|20 FT|DRY|ZONA"/>
        <s v="UESU2201580|20 FT|DRY|ZONA"/>
        <s v="GESU3057370|20 FT|DRY|ZONA"/>
        <s v="MSKU3438911|20 FT|DRY|ZONA"/>
        <s v="FCIU3500360|20 FT|DRY|ZONA"/>
        <s v="FSCU7399777|20 FT|DRY|ZONA"/>
        <s v="TEMU2248820|20 FT|DRY|ZONA"/>
        <s v="CCLU3588543|20 FT|DRY|ZONA"/>
        <s v="PCIU8294513|40 FT|DRY|ZONA"/>
        <s v="AXIU2933779|20 FT|DRY|ZONA"/>
        <s v="ILSU2019602|20 FT|DRY|ZONA"/>
        <s v="CMAU1019685|20 FT|DRY|ZONA"/>
        <s v="CRXU1925472|20 FT|DRY|ZONA"/>
        <s v="CXDU1227514|20 FT|DRY|ZONA"/>
        <s v="CPSU1828517|20 FT|DRY|ZONA"/>
        <s v="HDMU6866817|40 FT|DRY|ZONA"/>
        <s v="CSLU1391880|20 FT|DRY|ZONA"/>
        <s v="PONU0848960|20 FT|DRY|ZONA"/>
        <s v="GESU2928512|20 FT|DRY|ZONA"/>
        <s v="TEMU2346209|20 FT|DRY|ZONA"/>
        <s v="GATU1329788|20 FT|DRY|ZONA"/>
        <s v="BMOU2422100|20 FT|DRY|ZONA"/>
        <s v="EISU2127714|20 FT|DRY|ZONA"/>
        <s v="GESU2957357|20 FT|DRY|ZONA"/>
        <s v="FORU8487209|20 FT|DRY|ZONA"/>
        <s v="WSCU7720837|40 FT|DRY|ZONA"/>
        <s v="MOMU2206221|20 FT|DRY|ZONA"/>
        <s v="GESU3317035|20 FT|DRY|ZONA"/>
        <s v="CSLU1034060|20 FT|DRY|ZONA"/>
        <s v="CSLU1244909|20 FT|DRY|ZONA"/>
        <s v="SEGU1019925|20 FT|DRY|ZONA"/>
        <s v="DRYU2211480|20 FT|DRY|ZONA"/>
        <s v="SEGU1410190|20 FT|DRY|ZONA"/>
        <s v="TGHU1845843|20 FT|DRY|ZONA"/>
        <s v="BMOU2419699|20 FT|DRY|ZONA"/>
        <s v="MAGU5162020|20 FT|DRY|ZONA"/>
        <s v="EISU2161766|20 FT|DRY|ZONA"/>
        <s v="PONU0269269|20 FT|DRY|ZONA"/>
        <s v="FORU2940998|20 FT|DRY|ZONA"/>
        <s v="TEMU2353677|20 FT|DRY|ZONA"/>
        <s v="BMOU4849385|40 FT|DRY|ZONA"/>
        <s v="CMAU5728903|40 FT|DRY|ZONA"/>
        <s v="CMAU5748751|40 FT|DRY|ZONA"/>
        <s v="CMAU5754029|40 FT|DRY|ZONA"/>
        <s v="CCLU3790425|20 FT|DRY|ZONA"/>
        <s v="CMAU5731846|40 FT|DRY|ZONA"/>
        <s v="GESU6015337|40 FT|DRY|ZONA"/>
        <s v="CAIU8404905|40 FT|DRY|ZONA"/>
        <s v="INKU6187694|40 FT|DRY|ZONA"/>
        <s v="MSCU7684236|40 FT|DRY|ZONA"/>
        <s v="TGHU8684951|40 FT|DRY|ZONA"/>
        <s v="TCNU9260112|40 FT|DRY|ZONA"/>
        <s v="CRSU9146899|40 FT|DRY|ZONA"/>
        <s v="CAIU8355349|40 FT|DRY|ZONA"/>
        <s v="CLHU9014619|40 FT|DRY|ZONA"/>
        <s v="WFHU5194356|40 FT|DRY|ZONA"/>
        <s v="GESU6223140|40 FT|DRY|ZONA"/>
        <s v="CXDU1285505|20 FT|DRY|ZONA"/>
        <s v="TEMU2817361|20 FT|DRY|ZONA"/>
        <s v="GATU8306850|20 FT|DRY|ZONA"/>
        <s v="CSLU1034477|20 FT|DRY|ZONA"/>
        <s v="TRLU9641743|20 FT|DRY|ZONA"/>
        <s v="CLHU8142467|40 FT|DRY|ZONA"/>
        <s v="TEMU2869935|20 FT|DRY|ZONA"/>
        <s v="FCIU2313088|20 FT|DRY|ZONA"/>
        <s v="MSKU2309817|20 FT|DRY|ZONA"/>
        <s v="MAGU2132839|20 FT|DRY|ZONA"/>
        <s v="DFSU2857341|20 FT|DRY|ZONA"/>
        <s v="XINU1181856|20 FT|DRY|ZONA"/>
        <s v="CBHU5962626|20 FT|DRY|ZONA"/>
        <s v="TGHU0149096|20 FT|DRY|ZONA"/>
        <s v="OOLU1446632|20 FT|DRY|ZONA"/>
        <s v="CRXU3216970|20 FT|DRY|ZONA"/>
        <s v="TTNU2993656|20 FT|DRY|ZONA"/>
        <s v="HLXU3378737|20 FT|DRY|ZONA"/>
        <s v="GESU1426103|20 FT|DRY|ZONA"/>
        <s v="MSKU2439111|20 FT|DRY|ZONA"/>
        <s v="TEMU2744964|20 FT|DRY|ZONA"/>
        <s v="YMLU3264150|20 FT|DRY|ZONA"/>
        <s v="CBHU5536338|20 FT|DRY|ZONA"/>
        <s v="OOLU1347732|20 FT|DRY|ZONA"/>
        <s v="IRNU3613191|20 FT|DRY|ZONA"/>
        <s v="WHLU0352424|20 FT|DRY|ZONA"/>
        <s v="HDMU2463789|20 FT|DRY|ZONA"/>
        <s v="RFCU2086380|20 FT|DRY|ZONA"/>
        <s v="YMLU3217061|20 FT|DRY|ZONA"/>
        <s v="TGHU1186920|20 FT|DRY|ZONA"/>
        <s v="TGHU2390667|20 FT|DRY|ZONA"/>
        <s v="WHLU0283787|20 FT|DRY|ZONA"/>
        <s v="CXDU1267918|20 FT|DRY|ZONA"/>
        <s v="MSKU2531260|20 FT|DRY|ZONA"/>
        <s v="SEGU2878170|20 FT|DRY|ZONA"/>
        <s v="EGHU3058499|20 FT|DRY|ZONA"/>
        <s v="CXDU1430840|20 FT|DRY|ZONA"/>
        <s v="CSLU1114398|20 FT|DRY|ZONA"/>
        <s v="ZGXU2279655|20 FT|DRY|ZONA"/>
        <s v="GESU3499789|20 FT|DRY|ZONA"/>
        <s v="FSCU9872744|40 FT|DRY|ZONA"/>
        <s v="CCLU7441545|40 FT|DRY|ZONA"/>
        <s v="RFCU2067014|20 FT|DRY|ZONA"/>
        <s v="OOLU3687290|20 FT |DRY|ZONA" u="1"/>
        <s v="TEMU2740070|20 FT |DRY|ZONA" u="1"/>
        <s v="TGHU0833730|20 FT |DRY|ZONA" u="1"/>
        <s v="CBHU5700122|20 FT |DRY|ZONA" u="1"/>
        <s v="WHLU0201602|20 FT |DRY|ZONA" u="1"/>
        <s v="TEMU2863449|20 FT |DRY|ZONA" u="1"/>
        <s v="ECMU1819649|20 FT |DRY|ZONA" u="1"/>
        <s v="CRSU1412020|20 FT |DRY|ZONA" u="1"/>
        <s v="MSKU2582797|20 FT |DRY|ZONA" u="1"/>
        <s v="FCIU3493087|20 FT |DRY|ZONA" u="1"/>
        <s v="KKTU7693300|20 FT |DRY|ZONA" u="1"/>
        <s v="DNAU2622206|20 FT |DRY|ZONA" u="1"/>
        <s v="GLDU2104936|20 FT |DRY|ZONA" u="1"/>
        <s v="TGHU3988490|20 FT |DRY|ZONA" u="1"/>
        <s v="PCIU2898481|20 FT |DRY|ZONA" u="1"/>
        <s v="MAEU6957872|20 FT |DRY|ZONA" u="1"/>
        <s v="EMCU6038844|20 FT |DRY|ZONA" u="1"/>
        <s v="GESU3809117|20 FT |DRY|ZONA" u="1"/>
        <s v="EMCU3919740|20 FT |DRY|ZONA" u="1"/>
        <s v="OOLU1536654|20 FT |DRY|ZONA" u="1"/>
        <s v="APLS2972932|20 FT |DRY|ZONA" u="1"/>
        <s v="TEMU2697250|20 FT |DRY|ZONA" u="1"/>
        <s v="GESU2615101|20 FT |DRY|ZONA" u="1"/>
        <s v="DRYU2292882|20 FT |DRY|ZONA" u="1"/>
        <s v="GATU1056446|20 FT |DRY|ZONA" u="1"/>
        <s v="TEXU3796647|20 FT |DRY|ZONA" u="1"/>
        <s v="UESU2310702|20 FT |DRY|ZONA" u="1"/>
        <s v="FORU2024779|20 FT |DRY|ZONA" u="1"/>
        <s v="GESU3042262|20 FT |DRY|ZONA" u="1"/>
        <s v="TEMU3769890|20 FT |DRY|ZONA" u="1"/>
        <s v="CRXU3064959|20 FT |DRY|ZONA" u="1"/>
        <s v="DRYU2524550|20 FT |DRY|ZONA" u="1"/>
        <s v="TEMU2353770|20 FT |DRY|ZONA" u="1"/>
        <s v="TEXU3818073|20 FT |DRY|ZONA" u="1"/>
        <s v="CBHU5604788|20 FT |DRY|ZONA" u="1"/>
        <s v="OOLU1412308|20 FT |DRY|ZONA" u="1"/>
        <s v="CBHU3665634|20 FT |DRY|ZONA" u="1"/>
        <s v="OOLU1375333|20 FT |DRY|ZONA" u="1"/>
        <s v="CSLU1059942|20 FT |DRY|ZONA" u="1"/>
        <s v="CCLU3651034|20 FT |DRY|ZONA" u="1"/>
        <s v="FSCU7399144|20 FT |DRY|ZONA" u="1"/>
        <s v="FCIU2668909|20 FT |DRY|ZONA" u="1"/>
        <s v="CRXU1432964|20 FT |DRY|ZONA" u="1"/>
        <s v="CAIU2744385|20 FT |DRY|ZONA" u="1"/>
        <s v="EMCU6009872|20 FT |DRY|ZONA" u="1"/>
        <s v="OOLU1529866|20 FT |DRY|ZONA" u="1"/>
        <s v="TEMU2246827|20 FT |DRY|ZONA" u="1"/>
        <s v="SEGU1410375|20 FT |DRY|ZONA" u="1"/>
        <s v="CSLU1426586|20 FT |DRY|ZONA" u="1"/>
        <s v="MSKU3001238|20 FT |DRY|ZONA" u="1"/>
        <s v="OOLU1192163|20 FT |DRY|ZONA" u="1"/>
        <s v="CAIU2857756|20 FT |DRY|ZONA" u="1"/>
        <s v="TGHU2794648|20 FT |DRY|ZONA" u="1"/>
        <s v="CSLU1032520|20 FT |DRY|ZONA" u="1"/>
        <s v="CRXU3112086|20 FT |DRY|ZONA" u="1"/>
        <s v="TEMU2722517|20 FT |DRY|ZONA" u="1"/>
        <s v="TGHU1849896|20 FT |DRY|ZONA" u="1"/>
        <s v="TGHU3067258|20 FT |DRY|ZONA" u="1"/>
        <s v="WHLU0268015|20 FT |DRY|ZONA" u="1"/>
        <s v="GLDU9703366|20 FT |DRY|ZONA" u="1"/>
        <s v="DRYU2290982|20 FT |DRY|ZONA" u="1"/>
        <s v="TEMU2705206|20 FT |DRY|ZONA" u="1"/>
        <s v="OOLU1277580|20 FT |DRY|ZONA" u="1"/>
        <s v="CXDU1107648|20 FT |DRY|ZONA" u="1"/>
        <s v="TEMU2700586|20 FT |DRY|ZONA" u="1"/>
        <s v="SIKU2947519|20 FT |DRY|ZONA" u="1"/>
        <s v="TEMU2786023|20 FT |DRY|ZONA" u="1"/>
        <s v="TRLU3610576|20 FT |DRY|ZONA" u="1"/>
        <s v="CXDU1212730|20 FT |DRY|ZONA" u="1"/>
        <s v="CCLU3714765|20 FT |DRY|ZONA" u="1"/>
        <s v="EMCU6045503|20 FT |DRY|ZONA" u="1"/>
        <s v="APZU3881939|20 FT |DRY|ZONA" u="1"/>
        <s v="WLNU2915950|20 FT |DRY|ZONA" u="1"/>
        <s v="OOLU1340682|20 FT |DRY|ZONA" u="1"/>
        <s v="CRXU3129324|20 FT |DRY|ZONA" u="1"/>
        <s v="TGHU3903379|20 FT |DRY|ZONA" u="1"/>
        <s v="TEMU2694966|20 FT |DRY|ZONA" u="1"/>
        <s v="TGHU1246275|20 FT |DRY|ZONA" u="1"/>
        <s v="OOLU1740673|20 FT |DRY|ZONA" u="1"/>
        <s v="CBHU4075632|20 FT |DRY|ZONA" u="1"/>
        <s v="PCIU3619236|20 FT |DRY|ZONA" u="1"/>
        <s v="OOLU1344760|20 FT |DRY|ZONA" u="1"/>
        <s v="BMOU2715582|20 FT |DRY|ZONA" u="1"/>
        <s v="OOLU1411889|20 FT |DRY|ZONA" u="1"/>
        <s v="OOLU1403137|20 FT |DRY|ZONA" u="1"/>
        <s v="FCIU4398459|20 FT |DRY|ZONA" u="1"/>
        <s v="SEGU3047063|20 FT |DRY|ZONA" u="1"/>
        <s v="BMOU4857328|40 FT |DRY|ZONA" u="1"/>
        <s v="OOLU1612414|20 FT |DRY|ZONA" u="1"/>
        <s v="CRXU1274494|20 FT |DRY|ZONA" u="1"/>
        <s v="HJLU1381554|20 FT |DRY|ZONA" u="1"/>
        <s v="WHLU0249308|20 FT |DRY|ZONA" u="1"/>
        <s v="OOLU1158765|20 FT |DRY|ZONA" u="1"/>
        <s v="OOLU1572688|20 FT |DRY|ZONA" u="1"/>
        <s v="TGHU3117301|20 FT |DRY|ZONA" u="1"/>
        <s v="TGHU0115584|20 FT |DRY|ZONA" u="1"/>
        <s v="WHLU0321315|20 FT |DRY|ZONA" u="1"/>
        <s v="HJCU8366998|20 FT |DRY|ZONA" u="1"/>
        <s v="IPXU3219902|20 FT |DRY|ZONA" u="1"/>
        <s v="HMCU3062032|20 FT |DRY|ZONA" u="1"/>
        <s v="ZONA9900166|20 FT |DRY|ZONA" u="1"/>
        <s v="FORU2119067|20 FT |DRY|ZONA" u="1"/>
        <s v="GESU1041971|20 FT |DRY|ZONA" u="1"/>
        <s v="OOLU1539437|20 FT |DRY|ZONA" u="1"/>
        <s v="MEDU1231882|20 FT |DRY|ZONA" u="1"/>
        <s v="WHLU0274023|20 FT |DRY|ZONA" u="1"/>
        <s v="DRYU9663938|40 FT |DRY|ZONA" u="1"/>
        <s v="CAXU6266922|20 FT |DRY|ZONA" u="1"/>
        <s v="OOLU1608327|20 FT |DRY|ZONA" u="1"/>
        <s v="PCIU2544528|20 FT |DRY|ZONA" u="1"/>
        <s v="TGHU2740169|20 FT |DRY|ZONA" u="1"/>
        <s v="TGHU1501998|20 FT |DRY|ZONA" u="1"/>
        <s v="BMOU2472395|20 FT |DRY|ZONA" u="1"/>
        <s v="OOLU1707000|20 FT |DRY|ZONA" u="1"/>
        <s v="CAIU2459705|20 FT |DRY|ZONA" u="1"/>
        <s v="GVCU2190099|20 FT |DRY|ZONA" u="1"/>
        <s v="CBHU5915368|20 FT |DRY|ZONA" u="1"/>
        <s v="MSKU2085390|20 FT |DRY|ZONA" u="1"/>
        <s v="TGHU0187542|20 FT |DRY|ZONA" u="1"/>
        <s v="WHLU0330050|20 FT |DRY|ZONA" u="1"/>
        <s v="GESU3267124|20 FT |DRY|ZONA" u="1"/>
        <s v="GESU3025624|20 FT |DRY|ZONA" u="1"/>
        <s v="TEMU2345199|20 FT |DRY|ZONA" u="1"/>
        <s v="OOLU1408611|20 FT |DRY|ZONA" u="1"/>
        <s v="TGHU2978820|20 FT |DRY|ZONA" u="1"/>
        <s v="IPXU3337715|20 FT |DRY|ZONA" u="1"/>
        <s v="CXDU1073297|20 FT |DRY|ZONA" u="1"/>
        <s v="SCZU7988569|20 FT |DRY|ZONA" u="1"/>
        <s v="GATU1361748|20 FT |DRY|ZONA" u="1"/>
        <s v="OOLU1741134|20 FT |DRY|ZONA" u="1"/>
        <s v="TGHU2371292|20 FT |DRY|ZONA" u="1"/>
        <s v="TGHU1228950|20 FT |DRY|ZONA" u="1"/>
        <s v="CRXU1143128|20 FT |DRY|ZONA" u="1"/>
        <s v="MSKU2536235|20 FT |DRY|ZONA" u="1"/>
        <s v="CBHU3287642|20 FT |DRY|ZONA" u="1"/>
        <s v="EISU2235920|20 FT |DRY|ZONA" u="1"/>
        <s v="CAIU2427740|20 FT |DRY|ZONA" u="1"/>
        <s v="WHLU0352189|20 FT |DRY|ZONA" u="1"/>
        <s v="MSKU2130971|20 FT |DRY|ZONA" u="1"/>
        <s v="DRYU2601908|20 FT |DRY|ZONA" u="1"/>
        <s v="TEMU2815815|20 FT |DRY|ZONA" u="1"/>
        <s v="CRXU3126372|20 FT |DRY|ZONA" u="1"/>
        <s v="DFSU2284255|20 FT |DRY|ZONA" u="1"/>
        <s v="BHSU2002332|20 FT |DRY|ZONA" u="1"/>
        <s v="WHLU2234884|20 FT |DRY|ZONA" u="1"/>
        <s v="CLHU3586854|20 FT |DRY|ZONA" u="1"/>
        <s v="TEMU2711087|20 FT |DRY|ZONA" u="1"/>
        <s v="SEGU1927408|20 FT |DRY|ZONA" u="1"/>
        <s v="OOLU1109816|20 FT |DRY|ZONA" u="1"/>
        <s v="OOLU1386050|20 FT |DRY|ZONA" u="1"/>
        <s v="OOLU1567737|20 FT |DRY|ZONA" u="1"/>
        <s v="CXDU1284155|20 FT |DRY|ZONA" u="1"/>
        <s v="GESU2832175|20 FT |DRY|ZONA" u="1"/>
        <s v="MAGU2143474|20 FT |DRY|ZONA" u="1"/>
        <s v="DRYU2525562|20 FT |DRY|ZONA" u="1"/>
        <s v="TEMU2365908|20 FT |DRY|ZONA" u="1"/>
        <s v="CXDU1232341|20 FT |DRY|ZONA" u="1"/>
        <s v="BMOU2992442|20 FT |DRY|ZONA" u="1"/>
        <s v="MAGU2140855|20 FT |DRY|ZONA" u="1"/>
        <s v="SEGU1032845|20 FT |DRY|ZONA" u="1"/>
        <s v="BMOU2484919|20 FT |DRY|ZONA" u="1"/>
        <s v="HJCU8435466|20 FT |DRY|ZONA" u="1"/>
        <s v="HJMU1939254|40 FT |DRY|ZONA" u="1"/>
        <s v="FCGU2303605|20 FT |DRY|ZONA" u="1"/>
        <s v="CPSU6444089|40 FT |DRY|ZONA" u="1"/>
        <s v="HJCU1689432|40 FT |DRY|ZONA" u="1"/>
        <s v="MAGU5159936|40 FT |DRY|ZONA" u="1"/>
        <s v="GESU5347471|40 FT |DRY|ZONA" u="1"/>
        <s v="FCIU9297034|40 FT |DRY|ZONA" u="1"/>
        <s v="WSCU9620122|40 FT |DRY|ZONA" u="1"/>
        <s v="BMOU2369875|20 FT |DRY|ZONA" u="1"/>
        <s v="XXXU9902224|40 FT |DRY|ZONA" u="1"/>
        <s v="CAIU8449812|40 FT |DRY|ZONA" u="1"/>
        <s v="BAXU5014252|40 FT |DRY|ZONA" u="1"/>
        <s v="DRYU9057890|40 FT |DRY|ZONA" u="1"/>
        <s v="XNKU6578436|40 FT |DRY|ZONA" u="1"/>
        <s v="CLHU8770951|40 FT |DRY|ZONA" u="1"/>
        <s v="PCIU8220486|40 FT |DRY|ZONA" u="1"/>
        <s v="FSCU9984410|40 FT |DRY|ZONA" u="1"/>
        <s v="FCIU8617853|40 FT |DRY|ZONA" u="1"/>
        <s v="GATU8673500|40 FT |DRY|ZONA" u="1"/>
        <s v="APHU6354991|40 FT |DRY|ZONA" u="1"/>
        <s v="TGHU0339239|20 FT |DRY|ZONA" u="1"/>
        <s v="TGHU1237083|20 FT |DRY|ZONA" u="1"/>
        <s v="INKU5616393|40 FT |DRY|ZONA" u="1"/>
        <s v="TRLU5548102|40 FT |DRY|ZONA" u="1"/>
        <s v="TCKU9876510|40 FT |DRY|ZONA" u="1"/>
        <s v="KPHU7109793|40 FT |DRY|ZONA" u="1"/>
        <s v="CMAU1662557|20 FT |DRY|ZONA" u="1"/>
        <s v="WHLU0302969|20 FT |DRY|ZONA" u="1"/>
        <s v="CRXU1976356|20 FT |DRY|ZONA" u="1"/>
        <s v="ECMU9583863|40 FT |DRY|ZONA" u="1"/>
        <s v="DRYU9138652|40 FT |DRY|ZONA" u="1"/>
        <s v="CAXU9360911|40 FT |DRY|ZONA" u="1"/>
        <s v="CCLU6168328|40 FT |DRY|ZONA" u="1"/>
        <s v="OOLU1611568|20 FT |DRY|ZONA" u="1"/>
        <s v="OOLU1551638|20 FT |DRY|ZONA" u="1"/>
        <s v="GATU0162973|20 FT |DRY|ZONA" u="1"/>
        <s v="BMOU2473067|20 FT |DRY|ZONA" u="1"/>
        <s v="INBU3895064|20 FT |DRY|ZONA" u="1"/>
        <s v="FCIU2922510|20 FT |DRY|ZONA" u="1"/>
        <s v="OOLU1377207|20 FT |DRY|ZONA" u="1"/>
        <s v="CXDU1714430|20 FT |DRY|ZONA" u="1"/>
        <s v="SNTU2009330|20 FT |DRY|ZONA" u="1"/>
        <s v="DFSU2296934|20 FT |DRY|ZONA" u="1"/>
        <s v="UGMU8580456|20 FT |DRY|ZONA" u="1"/>
        <s v="CSLU1248756|20 FT |DRY|ZONA" u="1"/>
        <s v="WSCU1620091|20 FT |DRY|ZONA" u="1"/>
        <s v="MSCU3233255|20 FT |DRY|ZONA" u="1"/>
        <s v="TGHU3320474|20 FT |DRY|ZONA" u="1"/>
        <s v="BMOU2005913|20 FT |DRY|ZONA" u="1"/>
        <s v="WHLU0328182|20 FT |DRY|ZONA" u="1"/>
        <s v="TRLU3680188|20 FT |DRY|ZONA" u="1"/>
        <s v="OOLU1373156|20 FT |DRY|ZONA" u="1"/>
        <s v="TGHU9095827|40 FT |DRY|ZONA" u="1"/>
        <s v="EITU1408367|40 FT |DRY|ZONA" u="1"/>
        <s v="CAIU3002816|20 FT |DRY|ZONA" u="1"/>
        <s v="TCNU9609518|40 FT |DRY|ZONA" u="1"/>
        <s v="WHLU2750453|20 FT |DRY|ZONA" u="1"/>
        <s v="SEGU1414719|20 FT |DRY|ZONA" u="1"/>
        <s v="CMAU1729706|20 FT |DRY|ZONA" u="1"/>
        <s v="DRYU9919974|40 FT |DRY|ZONA" u="1"/>
        <s v="KMTU7362381|20 FT |DRY|ZONA" u="1"/>
        <s v="FORU8134330|20 FT |DRY|ZONA" u="1"/>
        <s v="CAXU9357667|40 FT |DRY|ZONA" u="1"/>
        <s v="GLDU0653963|40 FT |DRY|ZONA" u="1"/>
        <s v="OOLU1683568|20 FT |DRY|ZONA" u="1"/>
        <s v="CXDU1188547|20 FT |DRY|ZONA" u="1"/>
        <s v="CAXU9263315|40 FT |DRY|ZONA" u="1"/>
        <s v="CXDU1285742|20 FT |DRY|ZONA" u="1"/>
        <s v="OOLU1731120|20 FT |DRY|ZONA" u="1"/>
        <s v="GATU1328713|20 FT |DRY|ZONA" u="1"/>
        <s v="IPXU3145585|20 FT |DRY|ZONA" u="1"/>
        <s v="FCIU3378843|20 FT |DRY|ZONA" u="1"/>
        <s v="CSLU1081653|20 FT |DRY|ZONA" u="1"/>
        <s v="CAIU2441809|20 FT |DRY|ZONA" u="1"/>
        <s v="SEGU1415452|20 FT |DRY|ZONA" u="1"/>
        <s v="BMOU2546841|20 FT |DRY|ZONA" u="1"/>
        <s v="KMTU7235941|20 FT |DRY|ZONA" u="1"/>
        <s v="CCLU3903413|20 FT |DRY|ZONA" u="1"/>
        <s v="GESU1048600|20 FT |DRY|ZONA" u="1"/>
        <s v="TGHU3123011|20 FT |DRY|ZONA" u="1"/>
        <s v="EISU2161180|20 FT |DRY|ZONA" u="1"/>
        <s v="SEGU1415952|20 FT |DRY|ZONA" u="1"/>
        <s v="EMCU3571588|20 FT |DRY|ZONA" u="1"/>
        <s v="CRSU1117174|20 FT |DRY|ZONA" u="1"/>
        <s v="IRNU3692251|20 FT |DRY|ZONA" u="1"/>
        <s v="TGHU2894328|20 FT |DRY|ZONA" u="1"/>
        <s v="ZONA2821420|20 FT |DRY|ZONA" u="1"/>
        <s v="TEMU2703707|20 FT |DRY|ZONA" u="1"/>
        <s v="TEMU4280728|20 FT |DRY|ZONA" u="1"/>
        <s v="GSTU5111867|20 FT |DRY|ZONA" u="1"/>
        <s v="CRXU3121030|20 FT |DRY|ZONA" u="1"/>
        <s v="SEGU1076951|20 FT |DRY|ZONA" u="1"/>
        <s v="PONU0713265|20 FT |DRY|ZONA" u="1"/>
        <s v="TEMU2734267|20 FT |DRY|ZONA" u="1"/>
        <s v="XINU1583346|20 FT |DRY|ZONA" u="1"/>
        <s v="CRXU1509670|20 FT |DRY|ZONA" u="1"/>
        <s v="BMOU2210712|20 FT |DRY|ZONA" u="1"/>
        <s v="MAGU5226741|40 FT |DRY|ZONA" u="1"/>
        <s v="KMTU7353435|20 FT |DRY|ZONA" u="1"/>
        <s v="BMOU2694710|20 FT |DRY|ZONA" u="1"/>
        <s v="CRXU1526087|20 FT |DRY|ZONA" u="1"/>
        <s v="OOLU1711021|20 FT |DRY|ZONA" u="1"/>
        <s v="OOLU1334735|20 FT |DRY|ZONA" u="1"/>
        <s v="TGHU1716091|20 FT |DRY|ZONA" u="1"/>
        <s v="WHLU0319684|20 FT |DRY|ZONA" u="1"/>
        <s v="TEMU2741625|20 FT |DRY|ZONA" u="1"/>
        <s v="TGHU0724549|20 FT |DRY|ZONA" u="1"/>
        <s v="TLHU0635822|20 FT |DRY|ZONA" u="1"/>
        <s v="TEXU3773019|20 FT |DRY|ZONA" u="1"/>
        <s v="GATU1326496|20 FT |DRY|ZONA" u="1"/>
        <s v="TGHU3526470|20 FT |DRY|ZONA" u="1"/>
        <s v="OOLU1629952|20 FT |DRY|ZONA" u="1"/>
        <s v="CLHU3405215|20 FT |DRY|ZONA" u="1"/>
        <s v="BMOU2383868|20 FT |DRY|ZONA" u="1"/>
        <s v="TEMU3000416|20 FT |DRY|ZONA" u="1"/>
        <s v="FORU2928760|20 FT |DRY|ZONA" u="1"/>
        <s v="HDMU2486260|20 FT |DRY|ZONA" u="1"/>
        <s v="TEMU2365488|20 FT |DRY|ZONA" u="1"/>
        <s v="GLDU5758437|20 FT |DRY|ZONA" u="1"/>
        <s v="CAXU3332208|20 FT |DRY|ZONA" u="1"/>
        <s v="CLHU3389726|20 FT |DRY|ZONA" u="1"/>
        <s v="FORU8416289|20 FT |DRY|ZONA" u="1"/>
        <s v="CRXU3248180|20 FT |DRY|ZONA" u="1"/>
        <s v="GLDU9422008|20 FT |DRY|ZONA" u="1"/>
        <s v="TEMU2326809|20 FT |DRY|ZONA" u="1"/>
        <s v="ZONA6987793|20 FT |DRY|ZONA" u="1"/>
        <s v="TGHU2560110|20 FT |DRY|ZONA" u="1"/>
        <s v="ZONA5956855|20 FT |DRY|ZONA" u="1"/>
        <s v="INBU3660990|20 FT |DRY|ZONA" u="1"/>
        <s v="ZONA2846187|20 FT |DRY|ZONA" u="1"/>
        <s v="CRXU3167129|20 FT |DRY|ZONA" u="1"/>
        <s v="ZONA6956855|20 FT |DRY|ZONA" u="1"/>
        <s v="TGHU0131970|20 FT |DRY|ZONA" u="1"/>
        <s v="GESU1136336|20 FT |DRY|ZONA" u="1"/>
        <s v="CRSU1421799|20 FT |DRY|ZONA" u="1"/>
        <s v="OOLU1578109|20 FT |DRY|ZONA" u="1"/>
        <s v="FCIU2405311|20 FT |DRY|ZONA" u="1"/>
        <s v="CRSU1468543|20 FT |DRY|ZONA" u="1"/>
        <s v="WFHU1240962|20 FT |DRY|ZONA" u="1"/>
        <s v="TEMU2775184|20 FT |DRY|ZONA" u="1"/>
        <s v="PCIU3056343|20 FT |DRY|ZONA" u="1"/>
        <s v="BMOU2475368|20 FT |DRY|ZONA" u="1"/>
        <s v="TTNU3073288|20 FT |DRY|ZONA" u="1"/>
        <s v="EISU3999218|20 FT |DRY|ZONA" u="1"/>
        <s v="GESU3638380|20 FT |DRY|ZONA" u="1"/>
        <s v="EISU3944703|20 FT |DRY|ZONA" u="1"/>
        <s v="CLHU3912950|20 FT |DRY|ZONA" u="1"/>
        <s v="CLHU3164099|20 FT |DRY|ZONA" u="1"/>
        <s v="XINU1085662|20 FT |DRY|ZONA" u="1"/>
        <s v="BMOU2448486|20 FT |DRY|ZONA" u="1"/>
        <s v="OOLU1623960|20 FT |DRY|ZONA" u="1"/>
        <s v="TEMU2346554|20 FT |DRY|ZONA" u="1"/>
        <s v="BMOU2014772|20 FT |DRY|ZONA" u="1"/>
        <s v="DRYU2302717|20 FT |DRY|ZONA" u="1"/>
        <s v="BMOU2894370|20 FT |DRY|ZONA" u="1"/>
        <s v="MRLU2278060|20 FT |DRY|ZONA" u="1"/>
        <s v="TRLU8986930|20 FT |DRY|ZONA" u="1"/>
        <s v="GESU3033949|20 FT |DRY|ZONA" u="1"/>
        <s v="TEMU3258062|20 FT |DRY|ZONA" u="1"/>
        <s v="CCLU3559801|20 FT |DRY|ZONA" u="1"/>
        <s v="MSKU2016552|20 FT |DRY|ZONA" u="1"/>
        <s v="ZONA4206507|20 FT |DRY|ZONA" u="1"/>
        <s v="SEGU1028779|20 FT |DRY|ZONA" u="1"/>
        <s v="DRYU2203289|20 FT |DRY|ZONA" u="1"/>
        <s v="DRYU2372740|20 FT |DRY|ZONA" u="1"/>
        <s v="EISU3946650|20 FT |DRY|ZONA" u="1"/>
        <s v="ZCIU3851180|20 FT |DRY|ZONA" u="1"/>
        <s v="RFCU2069151|20 FT |DRY|ZONA" u="1"/>
        <s v="CRXU1276218|20 FT |DRY|ZONA" u="1"/>
        <s v="DRYU2244842|20 FT |DRY|ZONA" u="1"/>
        <s v="DRYU2121745|20 FT |DRY|ZONA" u="1"/>
        <s v="TGHU1423468|20 FT |DRY|ZONA" u="1"/>
        <s v="DRYU2456184|20 FT |DRY|ZONA" u="1"/>
        <s v="BMOU2858623|20 FT |DRY|ZONA" u="1"/>
        <s v="DRYU2297570|20 FT |DRY|ZONA" u="1"/>
        <s v="CXDU1319457|20 FT |DRY|ZONA" u="1"/>
        <s v="DRYU2571737|20 FT |DRY|ZONA" u="1"/>
        <s v="EMCU3978402|20 FT |DRY|ZONA" u="1"/>
        <s v="TGHU1681760|20 FT |DRY|ZONA" u="1"/>
        <s v="TEMU2365317|20 FT |DRY|ZONA" u="1"/>
        <s v="DAVU9088014|20 FT |DRY|ZONA" u="1"/>
        <s v="WHLU0296911|20 FT |DRY|ZONA" u="1"/>
        <s v="CRXU1280141|20 FT |DRY|ZONA" u="1"/>
        <s v="FSCU3182248|20 FT |DRY|ZONA" u="1"/>
        <s v="WHLU0293635|20 FT |DRY|ZONA" u="1"/>
        <s v="GESU3600488|20 FT |DRY|ZONA" u="1"/>
        <s v="DRYU2301710|20 FT |DRY|ZONA" u="1"/>
        <s v="BSIU2946381|20 FT |DRY|ZONA" u="1"/>
        <s v="SCMU2082204|20 FT |DRY|ZONA" u="1"/>
        <s v="TGHU3280303|20 FT |DRY|ZONA" u="1"/>
        <s v="DRYU2359184|20 FT |DRY|ZONA" u="1"/>
        <s v="TGHU3090730|20 FT |DRY|ZONA" u="1"/>
        <s v="GESU5841930|40 FT |DRY|ZONA" u="1"/>
        <s v="AMFU3153115|20 FT |DRY|ZONA" u="1"/>
        <s v="TCLU2042620|20 FT |DRY|ZONA" u="1"/>
        <s v="TGHU0397343|20 FT |DRY|ZONA" u="1"/>
        <s v="CBHU5836757|20 FT |DRY|ZONA" u="1"/>
        <s v="MLCU2462418|20 FT |DRY|ZONA" u="1"/>
        <s v="EISU3948885|20 FT |DRY|ZONA" u="1"/>
        <s v="CXDU1599110|20 FT |DRY|ZONA" u="1"/>
        <s v="OOLU1626995|20 FT |DRY|ZONA" u="1"/>
        <s v="FSCU7800508|20 FT |DRY|ZONA" u="1"/>
        <s v="TGHU1717713|20 FT |DRY|ZONA" u="1"/>
        <s v="EISU2158356|20 FT |DRY|ZONA" u="1"/>
        <s v="TEMU0281346|20 FT |DRY|ZONA" u="1"/>
        <s v="SCZU7953710|20 FT |DRY|ZONA" u="1"/>
        <s v="PCIU3062109|20 FT |DRY|ZONA" u="1"/>
        <s v="WHLU0273177|20 FT |DRY|ZONA" u="1"/>
        <s v="OOLU1531987|20 FT |DRY|ZONA" u="1"/>
        <s v="FSCU3188248|20 FT |DRY|ZONA" u="1"/>
        <s v="CLHU8329484|40 FT |DRY|ZONA" u="1"/>
        <s v="ZIMU1254647|20 FT |DRY|ZONA" u="1"/>
        <s v="TGHU0466803|20 FT |DRY|ZONA" u="1"/>
        <s v="MSKU2316009|20 FT |DRY|ZONA" u="1"/>
        <s v="GLDU3012705|20 FT |DRY|ZONA" u="1"/>
        <s v="HDMU6532450|40 FT |DRY|ZONA" u="1"/>
        <s v="TEMU2705422|20 FT |DRY|ZONA" u="1"/>
        <s v="UESU2201580|20 FT |DRY|ZONA" u="1"/>
        <s v="GESU3057370|20 FT |DRY|ZONA" u="1"/>
        <s v="MSKU3438911|20 FT |DRY|ZONA" u="1"/>
        <s v="FCIU3500360|20 FT |DRY|ZONA" u="1"/>
        <s v="FSCU7399777|20 FT |DRY|ZONA" u="1"/>
        <s v="TEMU2248820|20 FT |DRY|ZONA" u="1"/>
        <s v="CCLU3588543|20 FT |DRY|ZONA" u="1"/>
        <s v="PCIU8294513|40 FT |DRY|ZONA" u="1"/>
        <s v="AXIU2933779|20 FT |DRY|ZONA" u="1"/>
        <s v="ILSU2019602|20 FT |DRY|ZONA" u="1"/>
        <s v="CMAU1019685|20 FT |DRY|ZONA" u="1"/>
        <s v="CRXU1925472|20 FT |DRY|ZONA" u="1"/>
        <s v="CXDU1227514|20 FT |DRY|ZONA" u="1"/>
        <s v="CPSU1828517|20 FT |DRY|ZONA" u="1"/>
        <s v="HDMU6866817|40 FT |DRY|ZONA" u="1"/>
        <s v="CSLU1391880|20 FT |DRY|ZONA" u="1"/>
        <s v="PONU0848960|20 FT |DRY|ZONA" u="1"/>
        <s v="GESU2928512|20 FT |DRY|ZONA" u="1"/>
        <s v="TEMU2346209|20 FT |DRY|ZONA" u="1"/>
        <s v="GATU1329788|20 FT |DRY|ZONA" u="1"/>
        <s v="BMOU2422100|20 FT |DRY|ZONA" u="1"/>
        <s v="EISU2127714|20 FT |DRY|ZONA" u="1"/>
        <s v="GESU2957357|20 FT |DRY|ZONA" u="1"/>
        <s v="FORU8487209|20 FT |DRY|ZONA" u="1"/>
        <s v="WSCU7720837|40 FT |DRY|ZONA" u="1"/>
        <s v="MOMU2206221|20 FT |DRY|ZONA" u="1"/>
        <s v="GESU3317035|20 FT |DRY|ZONA" u="1"/>
        <s v="CSLU1034060|20 FT |DRY|ZONA" u="1"/>
        <s v="CSLU1244909|20 FT |DRY|ZONA" u="1"/>
        <s v="SEGU1019925|20 FT |DRY|ZONA" u="1"/>
        <s v="DRYU2211480|20 FT |DRY|ZONA" u="1"/>
        <s v="SEGU1410190|20 FT |DRY|ZONA" u="1"/>
        <s v="TGHU1845843|20 FT |DRY|ZONA" u="1"/>
        <s v="BMOU2419699|20 FT |DRY|ZONA" u="1"/>
        <s v="MAGU5162020|20 FT |DRY|ZONA" u="1"/>
        <s v="EISU2161766|20 FT |DRY|ZONA" u="1"/>
        <s v="PONU0269269|20 FT |DRY|ZONA" u="1"/>
        <s v="FORU2940998|20 FT |DRY|ZONA" u="1"/>
        <s v="TEMU2353677|20 FT |DRY|ZONA" u="1"/>
        <s v="BMOU4849385|40 FT |DRY|ZONA" u="1"/>
        <s v="CMAU5728903|40 FT |DRY|ZONA" u="1"/>
        <s v="CMAU5748751|40 FT |DRY|ZONA" u="1"/>
        <s v="CMAU5754029|40 FT |DRY|ZONA" u="1"/>
        <s v="CCLU3790425|20 FT |DRY|ZONA" u="1"/>
        <s v="CMAU5731846|40 FT |DRY|ZONA" u="1"/>
        <s v="GESU6015337|40 FT |DRY|ZONA" u="1"/>
        <s v="CAIU8404905|40 FT |DRY|ZONA" u="1"/>
        <s v="INKU6187694|40 FT |DRY|ZONA" u="1"/>
        <s v="MSCU7684236|40 FT |DRY|ZONA" u="1"/>
        <s v="TGHU8684951|40 FT |DRY|ZONA" u="1"/>
        <s v="TCNU9260112|40 FT |DRY|ZONA" u="1"/>
        <s v="CRSU9146899|40 FT |DRY|ZONA" u="1"/>
        <s v="CAIU8355349|40 FT |DRY|ZONA" u="1"/>
        <s v="CLHU9014619|40 FT |DRY|ZONA" u="1"/>
        <s v="WFHU5194356|40 FT |DRY|ZONA" u="1"/>
        <s v="GESU6223140|40 FT |DRY|ZONA" u="1"/>
        <s v="CXDU1285505|20 FT |DRY|ZONA" u="1"/>
        <s v="TEMU2817361|20 FT |DRY|ZONA" u="1"/>
        <s v="GATU8306850|20 FT |DRY|ZONA" u="1"/>
        <s v="CSLU1034477|20 FT |DRY|ZONA" u="1"/>
        <s v="TRLU9641743|20 FT |DRY|ZONA" u="1"/>
        <s v="CLHU8142467|40 FT |DRY|ZONA" u="1"/>
        <s v="TEMU2869935|20 FT |DRY|ZONA" u="1"/>
        <s v="FCIU2313088|20 FT |DRY|ZONA" u="1"/>
        <s v="MSKU2309817|20 FT |DRY|ZONA" u="1"/>
        <s v="MAGU2132839|20 FT |DRY|ZONA" u="1"/>
        <s v="DFSU2857341|20 FT |DRY|ZONA" u="1"/>
        <s v="XINU1181856|20 FT |DRY|ZONA" u="1"/>
        <s v="CBHU5962626|20 FT |DRY|ZONA" u="1"/>
        <s v="TGHU0149096|20 FT |DRY|ZONA" u="1"/>
        <s v="OOLU1446632|20 FT |DRY|ZONA" u="1"/>
        <s v="CRXU3216970|20 FT |DRY|ZONA" u="1"/>
        <s v="TTNU2993656|20 FT |DRY|ZONA" u="1"/>
        <s v="HLXU3378737|20 FT |DRY|ZONA" u="1"/>
        <s v="GESU1426103|20 FT |DRY|ZONA" u="1"/>
        <s v="MSKU2439111|20 FT |DRY|ZONA" u="1"/>
        <s v="TEMU2744964|20 FT |DRY|ZONA" u="1"/>
        <s v="YMLU3264150|20 FT |DRY|ZONA" u="1"/>
        <s v="CBHU5536338|20 FT |DRY|ZONA" u="1"/>
        <s v="OOLU1347732|20 FT |DRY|ZONA" u="1"/>
        <s v="IRNU3613191|20 FT |DRY|ZONA" u="1"/>
        <s v="WHLU0352424|20 FT |DRY|ZONA" u="1"/>
        <s v="HDMU2463789|20 FT |DRY|ZONA" u="1"/>
        <s v="RFCU2086380|20 FT |DRY|ZONA" u="1"/>
        <s v="YMLU3217061|20 FT |DRY|ZONA" u="1"/>
        <s v="TGHU1186920|20 FT |DRY|ZONA" u="1"/>
        <s v="TGHU2390667|20 FT |DRY|ZONA" u="1"/>
        <s v="WHLU0283787|20 FT |DRY|ZONA" u="1"/>
        <s v="CXDU1267918|20 FT |DRY|ZONA" u="1"/>
        <s v="MSKU2531260|20 FT |DRY|ZONA" u="1"/>
        <s v="SEGU2878170|20 FT |DRY|ZONA" u="1"/>
        <s v="EGHU3058499|20 FT |DRY|ZONA" u="1"/>
        <s v="CXDU1430840|20 FT |DRY|ZONA" u="1"/>
        <s v="CSLU1114398|20 FT |DRY|ZONA" u="1"/>
        <s v="ZGXU2279655|20 FT |DRY|ZONA" u="1"/>
        <s v="GESU3499789|20 FT |DRY|ZONA" u="1"/>
        <s v="FSCU9872744|40 FT |DRY|ZONA" u="1"/>
        <s v="CCLU7441545|40 FT |DRY|ZONA" u="1"/>
        <s v="RFCU2067014|20 FT |DRY|ZONA" u="1"/>
        <s v="GESU5114504|40 High Cube|ZONA" u="1"/>
        <s v="MSKU4555445|40 High Cube|ZONA" u="1"/>
        <s v="GESU5570090|40 High Cube|ZONA" u="1"/>
        <s v="BPLU1210002|40 High Cube|ZONA" u="1"/>
        <s v="GESU5508370|40 High Cube|ZONA" u="1"/>
        <s v="TGHU6130478|40 High Cube|ZONA" u="1"/>
        <s v="UESU4688707|40 High Cube|ZONA" u="1"/>
        <s v="HJMU1531909|40 High Cube|ZONA" u="1"/>
        <s v="NYKU6973772|40 High Cube|ZONA" u="1"/>
        <s v="FCIU9298391|40 High Cube|ZONA" u="1"/>
        <s v="OOLU3687290|20 FT |ZONA" u="1"/>
        <s v="TEMU2740070|20 FT |ZONA" u="1"/>
        <s v="TGHU0833730|20 FT |ZONA" u="1"/>
        <s v="CBHU5700122|20 FT |ZONA" u="1"/>
        <s v="WHLU0201602|20 FT |ZONA" u="1"/>
        <s v="TEMU2863449|20 FT |ZONA" u="1"/>
        <s v="ECMU1819649|20 FT |ZONA" u="1"/>
        <s v="CRSU1412020|20 FT |ZONA" u="1"/>
        <s v="MSKU2582797|20 FT |ZONA" u="1"/>
        <s v="FCIU3493087|20 FT |ZONA" u="1"/>
        <s v="KKTU7693300|20 FT |ZONA" u="1"/>
        <s v="DNAU2622206|20 FT |ZONA" u="1"/>
        <s v="GLDU2104936|20 FT |ZONA" u="1"/>
        <s v="TGHU3988490|20 FT |ZONA" u="1"/>
        <s v="PCIU2898481|20 FT |ZONA" u="1"/>
        <s v="MAEU6957872|20 FT |ZONA" u="1"/>
        <s v="EMCU6038844|20 FT |ZONA" u="1"/>
        <s v="GESU3809117|20 FT |ZONA" u="1"/>
        <s v="EMCU3919740|20 FT |ZONA" u="1"/>
        <s v="OOLU1536654|20 FT |ZONA" u="1"/>
        <s v="APLS2972932|20 FT |ZONA" u="1"/>
        <s v="TEMU2697250|20 FT |ZONA" u="1"/>
        <s v="GESU2615101|20 FT |ZONA" u="1"/>
        <s v="DRYU2292882|20 FT |ZONA" u="1"/>
        <s v="GATU1056446|20 FT |ZONA" u="1"/>
        <s v="TEXU3796647|20 FT |ZONA" u="1"/>
        <s v="UESU2310702|20 FT |ZONA" u="1"/>
        <s v="FORU2024779|20 FT |ZONA" u="1"/>
        <s v="GESU3042262|20 FT |ZONA" u="1"/>
        <s v="TEMU3769890|20 FT |ZONA" u="1"/>
        <s v="CRXU3064959|20 FT |ZONA" u="1"/>
        <s v="DRYU2524550|20 FT |ZONA" u="1"/>
        <s v="TEMU2353770|20 FT |ZONA" u="1"/>
        <s v="TEXU3818073|20 FT |ZONA" u="1"/>
        <s v="CBHU5604788|20 FT |ZONA" u="1"/>
        <s v="OOLU1412308|20 FT |ZONA" u="1"/>
        <s v="CBHU3665634|20 FT |ZONA" u="1"/>
        <s v="OOLU1375333|20 FT |ZONA" u="1"/>
        <s v="CSLU1059942|20 FT |ZONA" u="1"/>
        <s v="CCLU3651034|20 FT |ZONA" u="1"/>
        <s v="FSCU7399144|20 FT |ZONA" u="1"/>
        <s v="FCIU2668909|20 FT |ZONA" u="1"/>
        <s v="CRXU1432964|20 FT |ZONA" u="1"/>
        <s v="CAIU2744385|20 FT |ZONA" u="1"/>
        <s v="EMCU6009872|20 FT |ZONA" u="1"/>
        <s v="OOLU1529866|20 FT |ZONA" u="1"/>
        <s v="TEMU2246827|20 FT |ZONA" u="1"/>
        <s v="SEGU1410375|20 FT |ZONA" u="1"/>
        <s v="CSLU1426586|20 FT |ZONA" u="1"/>
        <s v="MSKU3001238|20 FT |ZONA" u="1"/>
        <s v="OOLU1192163|20 FT |ZONA" u="1"/>
        <s v="CAIU2857756|20 FT |ZONA" u="1"/>
        <s v="TGHU2794648|20 FT |ZONA" u="1"/>
        <s v="CSLU1032520|20 FT |ZONA" u="1"/>
        <s v="CRXU3112086|20 FT |ZONA" u="1"/>
        <s v="TEMU2722517|20 FT |ZONA" u="1"/>
        <s v="TGHU1849896|20 FT |ZONA" u="1"/>
        <s v="TGHU3067258|20 FT |ZONA" u="1"/>
        <s v="WHLU0268015|20 FT |ZONA" u="1"/>
        <s v="GLDU9703366|20 FT |ZONA" u="1"/>
        <s v="DRYU2290982|20 FT |ZONA" u="1"/>
        <s v="TEMU2705206|20 FT |ZONA" u="1"/>
        <s v="OOLU1277580|20 FT |ZONA" u="1"/>
        <s v="CXDU1107648|20 FT |ZONA" u="1"/>
        <s v="TEMU2700586|20 FT |ZONA" u="1"/>
        <s v="SIKU2947519|20 FT |ZONA" u="1"/>
        <s v="TEMU2786023|20 FT |ZONA" u="1"/>
        <s v="TRLU3610576|20 FT |ZONA" u="1"/>
        <s v="CXDU1212730|20 FT |ZONA" u="1"/>
        <s v="CCLU3714765|20 FT |ZONA" u="1"/>
        <s v="EMCU6045503|20 FT |ZONA" u="1"/>
        <s v="APZU3881939|20 FT |ZONA" u="1"/>
        <s v="WLNU2915950|20 FT |ZONA" u="1"/>
        <s v="OOLU1340682|20 FT |ZONA" u="1"/>
        <s v="CRXU3129324|20 FT |ZONA" u="1"/>
        <s v="TGHU3903379|20 FT |ZONA" u="1"/>
        <s v="TEMU2694966|20 FT |ZONA" u="1"/>
        <s v="TGHU1246275|20 FT |ZONA" u="1"/>
        <s v="OOLU1740673|20 FT |ZONA" u="1"/>
        <s v="CBHU4075632|20 FT |ZONA" u="1"/>
        <s v="PCIU3619236|20 FT |ZONA" u="1"/>
        <s v="OOLU1344760|20 FT |ZONA" u="1"/>
        <s v="BMOU2715582|20 FT |ZONA" u="1"/>
        <s v="OOLU1411889|20 FT |ZONA" u="1"/>
        <s v="OOLU1403137|20 FT |ZONA" u="1"/>
        <s v="FCIU4398459|20 FT |ZONA" u="1"/>
        <s v="SEGU3047063|20 FT |ZONA" u="1"/>
        <s v="BMOU4857328|40 FT |ZONA" u="1"/>
        <s v="OOLU1612414|20 FT |ZONA" u="1"/>
        <s v="CRXU1274494|20 FT |ZONA" u="1"/>
        <s v="HJLU1381554|20 FT |ZONA" u="1"/>
        <s v="WHLU0249308|20 FT |ZONA" u="1"/>
        <s v="OOLU1158765|20 FT |ZONA" u="1"/>
        <s v="OOLU1572688|20 FT |ZONA" u="1"/>
        <s v="TGHU3117301|20 FT |ZONA" u="1"/>
        <s v="TGHU0115584|20 FT |ZONA" u="1"/>
        <s v="WHLU0321315|20 FT |ZONA" u="1"/>
        <s v="HJCU8366998|20 FT |ZONA" u="1"/>
        <s v="IPXU3219902|20 FT |ZONA" u="1"/>
        <s v="HMCU3062032|20 FT |ZONA" u="1"/>
        <s v="ZONA9900166|20 FT |ZONA" u="1"/>
        <s v="FORU2119067|20 FT |ZONA" u="1"/>
        <s v="GESU1041971|20 FT |ZONA" u="1"/>
        <s v="OOLU1539437|20 FT |ZONA" u="1"/>
        <s v="MEDU1231882|20 FT |ZONA" u="1"/>
        <s v="WHLU0274023|20 FT |ZONA" u="1"/>
        <s v="DRYU9663938|40 FT |ZONA" u="1"/>
        <s v="CAXU6266922|20 FT |ZONA" u="1"/>
        <s v="OOLU1608327|20 FT |ZONA" u="1"/>
        <s v="PCIU2544528|20 FT |ZONA" u="1"/>
        <s v="TGHU2740169|20 FT |ZONA" u="1"/>
        <s v="TGHU1501998|20 FT |ZONA" u="1"/>
        <s v="BMOU2472395|20 FT |ZONA" u="1"/>
        <s v="OOLU1707000|20 FT |ZONA" u="1"/>
        <s v="CAIU2459705|20 FT |ZONA" u="1"/>
        <s v="GVCU2190099|20 FT |ZONA" u="1"/>
        <s v="CBHU5915368|20 FT |ZONA" u="1"/>
        <s v="MSKU2085390|20 FT |ZONA" u="1"/>
        <s v="TGHU0187542|20 FT |ZONA" u="1"/>
        <s v="WHLU0330050|20 FT |ZONA" u="1"/>
        <s v="GESU3267124|20 FT |ZONA" u="1"/>
        <s v="GESU3025624|20 FT |ZONA" u="1"/>
        <s v="TEMU2345199|20 FT |ZONA" u="1"/>
        <s v="OOLU1408611|20 FT |ZONA" u="1"/>
        <s v="TGHU2978820|20 FT |ZONA" u="1"/>
        <s v="IPXU3337715|20 FT |ZONA" u="1"/>
        <s v="CXDU1073297|20 FT |ZONA" u="1"/>
        <s v="SCZU7988569|20 FT |ZONA" u="1"/>
        <s v="GATU1361748|20 FT |ZONA" u="1"/>
        <s v="OOLU1741134|20 FT |ZONA" u="1"/>
        <s v="TGHU2371292|20 FT |ZONA" u="1"/>
        <s v="TGHU1228950|20 FT |ZONA" u="1"/>
        <s v="CRXU1143128|20 FT |ZONA" u="1"/>
        <s v="MSKU2536235|20 FT |ZONA" u="1"/>
        <s v="CBHU3287642|20 FT |ZONA" u="1"/>
        <s v="EISU2235920|20 FT |ZONA" u="1"/>
        <s v="CAIU2427740|20 FT |ZONA" u="1"/>
        <s v="WHLU0352189|20 FT |ZONA" u="1"/>
        <s v="MSKU2130971|20 FT |ZONA" u="1"/>
        <s v="DRYU2601908|20 FT |ZONA" u="1"/>
        <s v="TEMU2815815|20 FT |ZONA" u="1"/>
        <s v="CRXU3126372|20 FT |ZONA" u="1"/>
        <s v="DFSU2284255|20 FT |ZONA" u="1"/>
        <s v="BHSU2002332|20 FT |ZONA" u="1"/>
        <s v="WHLU2234884|20 FT |ZONA" u="1"/>
        <s v="CLHU3586854|20 FT |ZONA" u="1"/>
        <s v="TEMU2711087|20 FT |ZONA" u="1"/>
        <s v="SEGU1927408|20 FT |ZONA" u="1"/>
        <s v="OOLU1109816|20 FT |ZONA" u="1"/>
        <s v="OOLU1386050|20 FT |ZONA" u="1"/>
        <s v="OOLU1567737|20 FT |ZONA" u="1"/>
        <s v="CXDU1284155|20 FT |ZONA" u="1"/>
        <s v="GESU2832175|20 FT |ZONA" u="1"/>
        <s v="MAGU2143474|20 FT |ZONA" u="1"/>
        <s v="DRYU2525562|20 FT |ZONA" u="1"/>
        <s v="TEMU2365908|20 FT |ZONA" u="1"/>
        <s v="CXDU1232341|20 FT |ZONA" u="1"/>
        <s v="BMOU2992442|20 FT |ZONA" u="1"/>
        <s v="MAGU2140855|20 FT |ZONA" u="1"/>
        <s v="SEGU1032845|20 FT |ZONA" u="1"/>
        <s v="BMOU2484919|20 FT |ZONA" u="1"/>
        <s v="HJCU8435466|20 FT |ZONA" u="1"/>
        <s v="HJMU1939254|40 FT |ZONA" u="1"/>
        <s v="FCGU2303605|20 FT |ZONA" u="1"/>
        <s v="CPSU6444089|40 FT |ZONA" u="1"/>
        <s v="HJCU1689432|40 FT |ZONA" u="1"/>
        <s v="MAGU5159936|40 FT |ZONA" u="1"/>
        <s v="GESU5347471|40 FT |ZONA" u="1"/>
        <s v="FCIU9297034|40 FT |ZONA" u="1"/>
        <s v="WSCU9620122|40 FT |ZONA" u="1"/>
        <s v="BMOU2369875|20 FT |ZONA" u="1"/>
        <s v="XXXU9902224|40 FT |ZONA" u="1"/>
        <s v="CAIU8449812|40 FT |ZONA" u="1"/>
        <s v="BAXU5014252|40 FT |ZONA" u="1"/>
        <s v="DRYU9057890|40 FT |ZONA" u="1"/>
        <s v="XNKU6578436|40 FT |ZONA" u="1"/>
        <s v="CLHU8770951|40 FT |ZONA" u="1"/>
        <s v="PCIU8220486|40 FT |ZONA" u="1"/>
        <s v="FSCU9984410|40 FT |ZONA" u="1"/>
        <s v="FCIU8617853|40 FT |ZONA" u="1"/>
        <s v="GATU8673500|40 FT |ZONA" u="1"/>
        <s v="APHU6354991|40 FT |ZONA" u="1"/>
        <s v="TGHU0339239|20 FT |ZONA" u="1"/>
        <s v="TGHU1237083|20 FT |ZONA" u="1"/>
        <s v="INKU5616393|40 FT |ZONA" u="1"/>
        <s v="TRLU5548102|40 FT |ZONA" u="1"/>
        <s v="TCKU9876510|40 FT |ZONA" u="1"/>
        <s v="KPHU7109793|40 FT |ZONA" u="1"/>
        <s v="CMAU1662557|20 FT |ZONA" u="1"/>
        <s v="WHLU0302969|20 FT |ZONA" u="1"/>
        <s v="CRXU1976356|20 FT |ZONA" u="1"/>
        <s v="ECMU9583863|40 FT |ZONA" u="1"/>
        <s v="DRYU9138652|40 FT |ZONA" u="1"/>
        <s v="CAXU9360911|40 FT |ZONA" u="1"/>
        <s v="CCLU6168328|40 FT |ZONA" u="1"/>
        <s v="OOLU1611568|20 FT |ZONA" u="1"/>
        <s v="OOLU1551638|20 FT |ZONA" u="1"/>
        <s v="GATU0162973|20 FT |ZONA" u="1"/>
        <s v="BMOU2473067|20 FT |ZONA" u="1"/>
        <s v="INBU3895064|20 FT |ZONA" u="1"/>
        <s v="FCIU2922510|20 FT |ZONA" u="1"/>
        <s v="OOLU1377207|20 FT |ZONA" u="1"/>
        <s v="CXDU1714430|20 FT |ZONA" u="1"/>
        <s v="SNTU2009330|20 FT |ZONA" u="1"/>
        <s v="DFSU2296934|20 FT |ZONA" u="1"/>
        <s v="UGMU8580456|20 FT |ZONA" u="1"/>
        <s v="CSLU1248756|20 FT |ZONA" u="1"/>
        <s v="WSCU1620091|20 FT |ZONA" u="1"/>
        <s v="MSCU3233255|20 FT |ZONA" u="1"/>
        <s v="TGHU3320474|20 FT |ZONA" u="1"/>
        <s v="BMOU2005913|20 FT |ZONA" u="1"/>
        <s v="WHLU0328182|20 FT |ZONA" u="1"/>
        <s v="TRLU3680188|20 FT |ZONA" u="1"/>
        <s v="OOLU1373156|20 FT |ZONA" u="1"/>
        <s v="TGHU9095827|40 FT |ZONA" u="1"/>
        <s v="EITU1408367|40 FT |ZONA" u="1"/>
        <s v="CAIU3002816|20 FT |ZONA" u="1"/>
        <s v="TCNU9609518|40 FT |ZONA" u="1"/>
        <s v="WHLU2750453|20 FT |ZONA" u="1"/>
        <s v="SEGU1414719|20 FT |ZONA" u="1"/>
        <s v="CMAU1729706|20 FT |ZONA" u="1"/>
        <s v="DRYU9919974|40 FT |ZONA" u="1"/>
        <s v="KMTU7362381|20 FT |ZONA" u="1"/>
        <s v="FORU8134330|20 FT |ZONA" u="1"/>
        <s v="CAXU9357667|40 FT |ZONA" u="1"/>
        <s v="GLDU0653963|40 FT |ZONA" u="1"/>
        <s v="OOLU1683568|20 FT |ZONA" u="1"/>
        <s v="CXDU1188547|20 FT |ZONA" u="1"/>
        <s v="CAXU9263315|40 FT |ZONA" u="1"/>
        <s v="CXDU1285742|20 FT |ZONA" u="1"/>
        <s v="OOLU1731120|20 FT |ZONA" u="1"/>
        <s v="GATU1328713|20 FT |ZONA" u="1"/>
        <s v="IPXU3145585|20 FT |ZONA" u="1"/>
        <s v="FCIU3378843|20 FT |ZONA" u="1"/>
        <s v="CSLU1081653|20 FT |ZONA" u="1"/>
        <s v="CAIU2441809|20 FT |ZONA" u="1"/>
        <s v="SEGU1415452|20 FT |ZONA" u="1"/>
        <s v="BMOU2546841|20 FT |ZONA" u="1"/>
        <s v="KMTU7235941|20 FT |ZONA" u="1"/>
        <s v="CCLU3903413|20 FT |ZONA" u="1"/>
        <s v="GESU1048600|20 FT |ZONA" u="1"/>
        <s v="TGHU3123011|20 FT |ZONA" u="1"/>
        <s v="EISU2161180|20 FT |ZONA" u="1"/>
        <s v="SEGU1415952|20 FT |ZONA" u="1"/>
        <s v="EMCU3571588|20 FT |ZONA" u="1"/>
        <s v="CRSU1117174|20 FT |ZONA" u="1"/>
        <s v="IRNU3692251|20 FT |ZONA" u="1"/>
        <s v="TGHU2894328|20 FT |ZONA" u="1"/>
        <s v="ZONA2821420|20 FT |ZONA" u="1"/>
        <s v="TEMU2703707|20 FT |ZONA" u="1"/>
        <s v="TEMU4280728|20 FT |ZONA" u="1"/>
        <s v="GSTU5111867|20 FT |ZONA" u="1"/>
        <s v="CRXU3121030|20 FT |ZONA" u="1"/>
        <s v="SEGU1076951|20 FT |ZONA" u="1"/>
        <s v="PONU0713265|20 FT |ZONA" u="1"/>
        <s v="TEMU2734267|20 FT |ZONA" u="1"/>
        <s v="XINU1583346|20 FT |ZONA" u="1"/>
        <s v="CRXU1509670|20 FT |ZONA" u="1"/>
        <s v="BMOU2210712|20 FT |ZONA" u="1"/>
        <s v="MAGU5226741|40 FT |ZONA" u="1"/>
        <s v="KMTU7353435|20 FT |ZONA" u="1"/>
        <s v="BMOU2694710|20 FT |ZONA" u="1"/>
        <s v="CRXU1526087|20 FT |ZONA" u="1"/>
        <s v="OOLU1711021|20 FT |ZONA" u="1"/>
        <s v="OOLU1334735|20 FT |ZONA" u="1"/>
        <s v="TGHU1716091|20 FT |ZONA" u="1"/>
        <s v="WHLU0319684|20 FT |ZONA" u="1"/>
        <s v="TEMU2741625|20 FT |ZONA" u="1"/>
        <s v="TGHU0724549|20 FT |ZONA" u="1"/>
        <s v="TLHU0635822|20 FT |ZONA" u="1"/>
        <s v="TEXU3773019|20 FT |ZONA" u="1"/>
        <s v="GATU1326496|20 FT |ZONA" u="1"/>
        <s v="TGHU3526470|20 FT |ZONA" u="1"/>
        <s v="OOLU1629952|20 FT |ZONA" u="1"/>
        <s v="CLHU3405215|20 FT |ZONA" u="1"/>
        <s v="BMOU2383868|20 FT |ZONA" u="1"/>
        <s v="TEMU3000416|20 FT |ZONA" u="1"/>
        <s v="FORU2928760|20 FT |ZONA" u="1"/>
        <s v="HDMU2486260|20 FT |ZONA" u="1"/>
        <s v="TEMU2365488|20 FT |ZONA" u="1"/>
        <s v="GLDU5758437|20 FT |ZONA" u="1"/>
        <s v="CAXU3332208|20 FT |ZONA" u="1"/>
        <s v="CLHU3389726|20 FT |ZONA" u="1"/>
        <s v="FORU8416289|20 FT |ZONA" u="1"/>
        <s v="CRXU3248180|20 FT |ZONA" u="1"/>
        <s v="GLDU9422008|20 FT |ZONA" u="1"/>
        <s v="TEMU2326809|20 FT |ZONA" u="1"/>
        <s v="ZONA6987793|20 FT |ZONA" u="1"/>
        <s v="TGHU2560110|20 FT |ZONA" u="1"/>
        <s v="ZONA5956855|20 FT |ZONA" u="1"/>
        <s v="INBU3660990|20 FT |ZONA" u="1"/>
        <s v="ZONA2846187|20 FT |ZONA" u="1"/>
        <s v="CRXU3167129|20 FT |ZONA" u="1"/>
        <s v="ZONA6956855|20 FT |ZONA" u="1"/>
        <s v="TGHU0131970|20 FT |ZONA" u="1"/>
        <s v="GESU1136336|20 FT |ZONA" u="1"/>
        <s v="CRSU1421799|20 FT |ZONA" u="1"/>
        <s v="OOLU1578109|20 FT |ZONA" u="1"/>
        <s v="FCIU2405311|20 FT |ZONA" u="1"/>
        <s v="CRSU1468543|20 FT |ZONA" u="1"/>
        <s v="WFHU1240962|20 FT |ZONA" u="1"/>
        <s v="TEMU2775184|20 FT |ZONA" u="1"/>
        <s v="PCIU3056343|20 FT |ZONA" u="1"/>
        <s v="BMOU2475368|20 FT |ZONA" u="1"/>
        <s v="TTNU3073288|20 FT |ZONA" u="1"/>
        <s v="EISU3999218|20 FT |ZONA" u="1"/>
        <s v="GESU3638380|20 FT |ZONA" u="1"/>
        <s v="EISU3944703|20 FT |ZONA" u="1"/>
        <s v="CLHU3912950|20 FT |ZONA" u="1"/>
        <s v="CLHU3164099|20 FT |ZONA" u="1"/>
        <s v="XINU1085662|20 FT |ZONA" u="1"/>
        <s v="BMOU2448486|20 FT |ZONA" u="1"/>
        <s v="OOLU1623960|20 FT |ZONA" u="1"/>
        <s v="TEMU2346554|20 FT |ZONA" u="1"/>
        <s v="BMOU2014772|20 FT |ZONA" u="1"/>
        <s v="DRYU2302717|20 FT |ZONA" u="1"/>
        <s v="BMOU2894370|20 FT |ZONA" u="1"/>
        <s v="MRLU2278060|20 FT |ZONA" u="1"/>
        <s v="TRLU8986930|20 FT |ZONA" u="1"/>
        <s v="GESU3033949|20 FT |ZONA" u="1"/>
        <s v="TEMU3258062|20 FT |ZONA" u="1"/>
        <s v="CCLU3559801|20 FT |ZONA" u="1"/>
        <s v="MSKU2016552|20 FT |ZONA" u="1"/>
        <s v="ZONA4206507|20 FT |ZONA" u="1"/>
        <s v="SEGU1028779|20 FT |ZONA" u="1"/>
        <s v="DRYU2203289|20 FT |ZONA" u="1"/>
        <s v="DRYU2372740|20 FT |ZONA" u="1"/>
        <s v="EISU3946650|20 FT |ZONA" u="1"/>
        <s v="ZCIU3851180|20 FT |ZONA" u="1"/>
        <s v="RFCU2069151|20 FT |ZONA" u="1"/>
        <s v="CRXU1276218|20 FT |ZONA" u="1"/>
        <s v="DRYU2244842|20 FT |ZONA" u="1"/>
        <s v="DRYU2121745|20 FT |ZONA" u="1"/>
        <s v="TGHU1423468|20 FT |ZONA" u="1"/>
        <s v="DRYU2456184|20 FT |ZONA" u="1"/>
        <s v="BMOU2858623|20 FT |ZONA" u="1"/>
        <s v="DRYU2297570|20 FT |ZONA" u="1"/>
        <s v="CXDU1319457|20 FT |ZONA" u="1"/>
        <s v="DRYU2571737|20 FT |ZONA" u="1"/>
        <s v="EMCU3978402|20 FT |ZONA" u="1"/>
        <s v="TGHU1681760|20 FT |ZONA" u="1"/>
        <s v="TEMU2365317|20 FT |ZONA" u="1"/>
        <s v="DAVU9088014|20 FT |ZONA" u="1"/>
        <s v="WHLU0296911|20 FT |ZONA" u="1"/>
        <s v="CRXU1280141|20 FT |ZONA" u="1"/>
        <s v="FSCU3182248|20 FT |ZONA" u="1"/>
        <s v="WHLU0293635|20 FT |ZONA" u="1"/>
        <s v="GESU3600488|20 FT |ZONA" u="1"/>
        <s v="DRYU2301710|20 FT |ZONA" u="1"/>
        <s v="BSIU2946381|20 FT |ZONA" u="1"/>
        <s v="SCMU2082204|20 FT |ZONA" u="1"/>
        <s v="TGHU3280303|20 FT |ZONA" u="1"/>
        <s v="DRYU2359184|20 FT |ZONA" u="1"/>
        <s v="TGHU3090730|20 FT |ZONA" u="1"/>
        <s v="GESU5841930|40 FT |ZONA" u="1"/>
        <s v="AMFU3153115|20 FT |ZONA" u="1"/>
        <s v="TCLU2042620|20 FT |ZONA" u="1"/>
        <s v="GESU5801429|40 FT|ZONA" u="1"/>
        <s v="TGHU0397343|20 FT |ZONA" u="1"/>
        <s v="CBHU5836757|20 FT |ZONA" u="1"/>
        <s v="MLCU2462418|20 FT |ZONA" u="1"/>
        <s v="EISU3948885|20 FT |ZONA" u="1"/>
        <s v="CXDU1599110|20 FT |ZONA" u="1"/>
        <s v="OOLU1626995|20 FT |ZONA" u="1"/>
        <s v="FSCU7800508|20 FT |ZONA" u="1"/>
        <s v="TGHU1717713|20 FT |ZONA" u="1"/>
        <s v="EISU2158356|20 FT |ZONA" u="1"/>
        <s v="TEMU0281346|20 FT |ZONA" u="1"/>
        <s v="SCZU7953710|20 FT |ZONA" u="1"/>
        <s v="PCIU3062109|20 FT |ZONA" u="1"/>
        <s v="WHLU0273177|20 FT |ZONA" u="1"/>
        <s v="OOLU1531987|20 FT |ZONA" u="1"/>
        <s v="FSCU3188248|20 FT |ZONA" u="1"/>
        <s v="CLHU8329484|40 FT |ZONA" u="1"/>
        <s v="ZIMU1254647|20 FT |ZONA" u="1"/>
        <s v="TGHU0466803|20 FT |ZONA" u="1"/>
        <s v="MSKU2316009|20 FT |ZONA" u="1"/>
        <s v="GLDU3012705|20 FT |ZONA" u="1"/>
        <s v="HDMU6532450|40 FT |ZONA" u="1"/>
        <s v="TEMU2705422|20 FT |ZONA" u="1"/>
        <s v="UESU2201580|20 FT |ZONA" u="1"/>
        <s v="GESU3057370|20 FT |ZONA" u="1"/>
        <s v="MSKU3438911|20 FT |ZONA" u="1"/>
        <s v="FCIU3500360|20 FT |ZONA" u="1"/>
        <s v="FSCU7399777|20 FT |ZONA" u="1"/>
        <s v="TEMU2248820|20 FT |ZONA" u="1"/>
        <s v="CCLU3588543|20 FT |ZONA" u="1"/>
        <s v="PCIU8294513|40 FT |ZONA" u="1"/>
        <s v="AXIU2933779|20 FT |ZONA" u="1"/>
        <s v="ILSU2019602|20 FT |ZONA" u="1"/>
        <s v="CMAU1019685|20 FT |ZONA" u="1"/>
        <s v="CRXU1925472|20 FT |ZONA" u="1"/>
        <s v="CXDU1227514|20 FT |ZONA" u="1"/>
        <s v="CPSU1828517|20 FT |ZONA" u="1"/>
        <s v="HDMU6866817|40 FT |ZONA" u="1"/>
        <s v="CSLU1391880|20 FT |ZONA" u="1"/>
        <s v="PONU0848960|20 FT |ZONA" u="1"/>
        <s v="GESU2928512|20 FT |ZONA" u="1"/>
        <s v="TEMU2346209|20 FT |ZONA" u="1"/>
        <s v="GATU1329788|20 FT |ZONA" u="1"/>
        <s v="BMOU2422100|20 FT |ZONA" u="1"/>
        <s v="EISU2127714|20 FT |ZONA" u="1"/>
        <s v="GESU2957357|20 FT |ZONA" u="1"/>
        <s v="FORU8487209|20 FT |ZONA" u="1"/>
        <s v="WSCU7720837|40 FT |ZONA" u="1"/>
        <s v="MOMU2206221|20 FT |ZONA" u="1"/>
        <s v="GESU3317035|20 FT |ZONA" u="1"/>
        <s v="CSLU1034060|20 FT |ZONA" u="1"/>
        <s v="CSLU1244909|20 FT |ZONA" u="1"/>
        <s v="SEGU1019925|20 FT |ZONA" u="1"/>
        <s v="DRYU2211480|20 FT |ZONA" u="1"/>
        <s v="SEGU1410190|20 FT |ZONA" u="1"/>
        <s v="TGHU1845843|20 FT |ZONA" u="1"/>
        <s v="BMOU2419699|20 FT |ZONA" u="1"/>
        <s v="MAGU5162020|20 FT |ZONA" u="1"/>
        <s v="EISU2161766|20 FT |ZONA" u="1"/>
        <s v="PONU0269269|20 FT |ZONA" u="1"/>
        <s v="FORU2940998|20 FT |ZONA" u="1"/>
        <s v="TEMU2353677|20 FT |ZONA" u="1"/>
        <s v="BMOU4849385|40 FT |ZONA" u="1"/>
        <s v="CMAU5728903|40 FT |ZONA" u="1"/>
        <s v="CMAU5748751|40 FT |ZONA" u="1"/>
        <s v="CMAU5754029|40 FT |ZONA" u="1"/>
        <s v="CCLU3790425|20 FT |ZONA" u="1"/>
        <s v="CMAU5731846|40 FT |ZONA" u="1"/>
        <s v="GESU6015337|40 FT |ZONA" u="1"/>
        <s v="CAIU8404905|40 FT |ZONA" u="1"/>
        <s v="INKU6187694|40 FT |ZONA" u="1"/>
        <s v="MSCU7684236|40 FT |ZONA" u="1"/>
        <s v="TGHU8684951|40 FT |ZONA" u="1"/>
        <s v="TCNU9260112|40 FT |ZONA" u="1"/>
        <s v="CRSU9146899|40 FT |ZONA" u="1"/>
        <s v="CAIU8355349|40 FT |ZONA" u="1"/>
        <s v="CLHU9014619|40 FT |ZONA" u="1"/>
        <s v="WFHU5194356|40 FT |ZONA" u="1"/>
        <s v="GESU6223140|40 FT |ZONA" u="1"/>
        <s v="CXDU1285505|20 FT |ZONA" u="1"/>
        <s v="TEMU2817361|20 FT |ZONA" u="1"/>
        <s v="GATU8306850|20 FT |ZONA" u="1"/>
        <s v="CSLU1034477|20 FT |ZONA" u="1"/>
        <s v="TRLU9641743|20 FT |ZONA" u="1"/>
        <s v="CLHU8142467|40 FT |ZONA" u="1"/>
        <s v="TEMU2869935|20 FT |ZONA" u="1"/>
        <s v="FCIU2313088|20 FT |ZONA" u="1"/>
        <s v="MSKU2309817|20 FT |ZONA" u="1"/>
        <s v="MAGU2132839|20 FT |ZONA" u="1"/>
        <s v="DFSU2857341|20 FT |ZONA" u="1"/>
        <s v="XINU1181856|20 FT |ZONA" u="1"/>
        <s v="CBHU5962626|20 FT |ZONA" u="1"/>
        <s v="TGHU0149096|20 FT |ZONA" u="1"/>
        <s v="OOLU1446632|20 FT |ZONA" u="1"/>
        <s v="CRXU3216970|20 FT |ZONA" u="1"/>
        <s v="TTNU2993656|20 FT |ZONA" u="1"/>
        <s v="HLXU3378737|20 FT |ZONA" u="1"/>
        <s v="GESU1426103|20 FT |ZONA" u="1"/>
        <s v="MSKU2439111|20 FT |ZONA" u="1"/>
        <s v="TEMU2744964|20 FT |ZONA" u="1"/>
        <s v="YMLU3264150|20 FT |ZONA" u="1"/>
        <s v="CBHU5536338|20 FT |ZONA" u="1"/>
        <s v="OOLU1347732|20 FT |ZONA" u="1"/>
        <s v="IRNU3613191|20 FT |ZONA" u="1"/>
        <s v="WHLU0352424|20 FT |ZONA" u="1"/>
        <s v="HDMU2463789|20 FT |ZONA" u="1"/>
        <s v="RFCU2086380|20 FT |ZONA" u="1"/>
        <s v="YMLU3217061|20 FT |ZONA" u="1"/>
        <s v="TGHU1186920|20 FT |ZONA" u="1"/>
        <s v="TGHU2390667|20 FT |ZONA" u="1"/>
        <s v="WHLU0283787|20 FT |ZONA" u="1"/>
        <s v="CXDU1267918|20 FT |ZONA" u="1"/>
        <s v="MSKU2531260|20 FT |ZONA" u="1"/>
        <s v="SEGU2878170|20 FT |ZONA" u="1"/>
        <s v="EGHU3058499|20 FT |ZONA" u="1"/>
        <s v="CXDU1430840|20 FT |ZONA" u="1"/>
        <s v="CSLU1114398|20 FT |ZONA" u="1"/>
        <s v="ZGXU2279655|20 FT |ZONA" u="1"/>
        <s v="GESU3499789|20 FT |ZONA" u="1"/>
        <s v="FSCU9872744|40 FT |ZONA" u="1"/>
        <s v="CCLU7441545|40 FT |ZONA" u="1"/>
        <s v="RFCU2067014|20 FT |ZON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3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72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12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74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155"/>
  </r>
  <r>
    <x v="315"/>
  </r>
  <r>
    <x v="114"/>
  </r>
  <r>
    <x v="316"/>
  </r>
  <r>
    <x v="317"/>
  </r>
  <r>
    <x v="14"/>
  </r>
  <r>
    <x v="318"/>
  </r>
  <r>
    <x v="319"/>
  </r>
  <r>
    <x v="320"/>
  </r>
  <r>
    <x v="321"/>
  </r>
  <r>
    <x v="322"/>
  </r>
  <r>
    <x v="323"/>
  </r>
  <r>
    <x v="324"/>
  </r>
  <r>
    <x v="325"/>
  </r>
  <r>
    <x v="142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138"/>
  </r>
  <r>
    <x v="357"/>
  </r>
  <r>
    <x v="358"/>
  </r>
  <r>
    <x v="359"/>
  </r>
  <r>
    <x v="360"/>
  </r>
  <r>
    <x v="21"/>
  </r>
  <r>
    <x v="361"/>
  </r>
  <r>
    <x v="362"/>
  </r>
  <r>
    <x v="363"/>
  </r>
  <r>
    <x v="364"/>
  </r>
  <r>
    <x v="365"/>
  </r>
  <r>
    <x v="366"/>
  </r>
  <r>
    <x v="15"/>
  </r>
  <r>
    <x v="127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53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120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238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134"/>
  </r>
  <r>
    <x v="450"/>
  </r>
  <r>
    <x v="200"/>
  </r>
  <r>
    <x v="451"/>
  </r>
  <r>
    <x v="452"/>
  </r>
  <r>
    <x v="159"/>
  </r>
  <r>
    <x v="453"/>
  </r>
  <r>
    <x v="47"/>
  </r>
  <r>
    <x v="454"/>
  </r>
  <r>
    <x v="151"/>
  </r>
  <r>
    <x v="455"/>
  </r>
  <r>
    <x v="46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193"/>
  </r>
  <r>
    <x v="469"/>
  </r>
  <r>
    <x v="470"/>
  </r>
  <r>
    <x v="42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141"/>
  </r>
  <r>
    <x v="486"/>
  </r>
  <r>
    <x v="487"/>
  </r>
  <r>
    <x v="4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B57D2-3157-4946-A708-F3C90AAA8306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93" firstHeaderRow="1" firstDataRow="1" firstDataCol="1"/>
  <pivotFields count="1">
    <pivotField axis="axisRow" showAll="0">
      <items count="1457">
        <item m="1" x="1332"/>
        <item m="1" x="1158"/>
        <item m="1" x="997"/>
        <item m="1" x="1048"/>
        <item m="1" x="1365"/>
        <item m="1" x="1150"/>
        <item m="1" x="1120"/>
        <item m="1" x="1187"/>
        <item m="1" x="1291"/>
        <item m="1" x="1235"/>
        <item m="1" x="1147"/>
        <item m="1" x="1252"/>
        <item m="1" x="1390"/>
        <item m="1" x="1377"/>
        <item m="1" x="1288"/>
        <item m="1" x="1089"/>
        <item m="1" x="1175"/>
        <item m="1" x="1280"/>
        <item m="1" x="1137"/>
        <item m="1" x="1214"/>
        <item m="1" x="1238"/>
        <item m="1" x="1059"/>
        <item m="1" x="1312"/>
        <item m="1" x="1293"/>
        <item m="1" x="1134"/>
        <item m="1" x="1396"/>
        <item m="1" x="1064"/>
        <item m="1" x="970"/>
        <item m="1" x="1326"/>
        <item m="1" x="1113"/>
        <item m="1" x="1212"/>
        <item m="1" x="1091"/>
        <item m="1" x="1020"/>
        <item m="1" x="1028"/>
        <item m="1" x="1193"/>
        <item m="1" x="1409"/>
        <item m="1" x="1403"/>
        <item m="1" x="1149"/>
        <item m="1" x="1258"/>
        <item m="1" x="1084"/>
        <item m="1" x="1205"/>
        <item m="1" x="1201"/>
        <item m="1" x="1170"/>
        <item m="1" x="1111"/>
        <item m="1" x="1013"/>
        <item m="1" x="1056"/>
        <item m="1" x="1435"/>
        <item m="1" x="1011"/>
        <item m="1" x="980"/>
        <item m="1" x="1336"/>
        <item m="1" x="1093"/>
        <item m="1" x="1425"/>
        <item m="1" x="1298"/>
        <item m="1" x="1363"/>
        <item m="1" x="1016"/>
        <item m="1" x="1046"/>
        <item m="1" x="1400"/>
        <item m="1" x="1216"/>
        <item m="1" x="1171"/>
        <item m="1" x="1454"/>
        <item m="1" x="1286"/>
        <item m="1" x="1259"/>
        <item m="1" x="1251"/>
        <item m="1" x="1122"/>
        <item m="1" x="1285"/>
        <item m="1" x="1418"/>
        <item m="1" x="1350"/>
        <item m="1" x="1153"/>
        <item m="1" x="1410"/>
        <item m="1" x="1367"/>
        <item m="1" x="1165"/>
        <item m="1" x="1197"/>
        <item m="1" x="1397"/>
        <item m="1" x="1401"/>
        <item m="1" x="1398"/>
        <item m="1" x="1399"/>
        <item m="1" x="1370"/>
        <item m="1" x="1141"/>
        <item m="1" x="1222"/>
        <item m="1" x="984"/>
        <item m="1" x="1273"/>
        <item m="1" x="1276"/>
        <item m="1" x="1408"/>
        <item m="1" x="1109"/>
        <item m="1" x="1066"/>
        <item m="1" x="1307"/>
        <item m="1" x="1321"/>
        <item m="1" x="1019"/>
        <item m="1" x="1234"/>
        <item m="1" x="1239"/>
        <item m="1" x="1368"/>
        <item m="1" x="1167"/>
        <item m="1" x="1007"/>
        <item m="1" x="1031"/>
        <item m="1" x="1229"/>
        <item m="1" x="1118"/>
        <item m="1" x="1051"/>
        <item m="1" x="1269"/>
        <item m="1" x="1428"/>
        <item m="1" x="1261"/>
        <item m="1" x="1030"/>
        <item m="1" x="1384"/>
        <item m="1" x="1416"/>
        <item m="1" x="1015"/>
        <item m="1" x="1211"/>
        <item m="1" x="1450"/>
        <item m="1" x="1385"/>
        <item m="1" x="1183"/>
        <item m="1" x="1372"/>
        <item m="1" x="1025"/>
        <item m="1" x="1103"/>
        <item m="1" x="1040"/>
        <item m="1" x="1204"/>
        <item m="1" x="1045"/>
        <item m="1" x="1369"/>
        <item m="1" x="1133"/>
        <item m="1" x="1445"/>
        <item m="1" x="1128"/>
        <item m="1" x="1413"/>
        <item m="1" x="1206"/>
        <item m="1" x="1314"/>
        <item m="1" x="1449"/>
        <item m="1" x="1339"/>
        <item m="1" x="1179"/>
        <item m="1" x="1319"/>
        <item m="1" x="1119"/>
        <item m="1" x="1181"/>
        <item m="1" x="1423"/>
        <item m="1" x="988"/>
        <item m="1" x="1309"/>
        <item m="1" x="1302"/>
        <item m="1" x="1387"/>
        <item m="1" x="1308"/>
        <item m="1" x="1037"/>
        <item m="1" x="1000"/>
        <item m="1" x="1313"/>
        <item m="1" x="1325"/>
        <item m="1" x="1292"/>
        <item m="1" x="1329"/>
        <item m="1" x="1303"/>
        <item m="1" x="1311"/>
        <item m="1" x="1008"/>
        <item m="1" x="1131"/>
        <item m="1" x="1315"/>
        <item m="1" x="1116"/>
        <item m="1" x="1151"/>
        <item m="1" x="1169"/>
        <item m="1" x="1083"/>
        <item m="1" x="1198"/>
        <item m="1" x="983"/>
        <item m="1" x="1168"/>
        <item m="1" x="1448"/>
        <item m="1" x="1378"/>
        <item m="1" x="1343"/>
        <item m="1" x="1219"/>
        <item m="1" x="1392"/>
        <item m="1" x="1112"/>
        <item m="1" x="1284"/>
        <item m="1" x="1304"/>
        <item m="1" x="1338"/>
        <item m="1" x="1282"/>
        <item m="1" x="1192"/>
        <item m="1" x="1221"/>
        <item m="1" x="995"/>
        <item m="1" x="1316"/>
        <item m="1" x="1021"/>
        <item m="1" x="993"/>
        <item m="1" x="1047"/>
        <item m="1" x="1140"/>
        <item m="1" x="1420"/>
        <item m="1" x="1275"/>
        <item m="1" x="1018"/>
        <item m="1" x="1177"/>
        <item m="1" x="1210"/>
        <item m="1" x="986"/>
        <item m="1" x="1360"/>
        <item m="1" x="1062"/>
        <item m="1" x="1156"/>
        <item m="1" x="1145"/>
        <item m="1" x="976"/>
        <item m="1" x="1004"/>
        <item m="1" x="1078"/>
        <item m="1" x="1254"/>
        <item m="1" x="1394"/>
        <item m="1" x="1200"/>
        <item m="1" x="1260"/>
        <item m="1" x="1380"/>
        <item m="1" x="1322"/>
        <item m="1" x="1349"/>
        <item m="1" x="1017"/>
        <item m="1" x="1361"/>
        <item m="1" x="1341"/>
        <item m="1" x="1453"/>
        <item m="1" x="1155"/>
        <item m="1" x="1174"/>
        <item m="1" x="1001"/>
        <item m="1" x="1248"/>
        <item m="1" x="1208"/>
        <item m="1" x="1376"/>
        <item m="1" x="1105"/>
        <item m="1" x="1415"/>
        <item m="1" x="1157"/>
        <item m="1" x="1079"/>
        <item m="1" x="1217"/>
        <item m="1" x="1272"/>
        <item m="1" x="1431"/>
        <item m="1" x="999"/>
        <item m="1" x="1129"/>
        <item m="1" x="1374"/>
        <item m="1" x="1379"/>
        <item m="1" x="1098"/>
        <item m="1" x="1296"/>
        <item m="1" x="1005"/>
        <item m="1" x="1358"/>
        <item m="1" x="1097"/>
        <item m="1" x="1383"/>
        <item m="1" x="1452"/>
        <item m="1" x="1324"/>
        <item m="1" x="1283"/>
        <item m="1" x="994"/>
        <item m="1" x="967"/>
        <item m="1" x="1144"/>
        <item m="1" x="971"/>
        <item m="1" x="969"/>
        <item m="1" x="1334"/>
        <item m="1" x="1331"/>
        <item m="1" x="1402"/>
        <item m="1" x="1412"/>
        <item m="1" x="1202"/>
        <item m="1" x="989"/>
        <item m="1" x="1354"/>
        <item m="1" x="1257"/>
        <item m="1" x="1262"/>
        <item m="1" x="1036"/>
        <item m="1" x="1228"/>
        <item m="1" x="1092"/>
        <item m="1" x="1439"/>
        <item m="1" x="1255"/>
        <item m="1" x="1355"/>
        <item m="1" x="1371"/>
        <item m="1" x="1142"/>
        <item m="1" x="1074"/>
        <item m="1" x="1138"/>
        <item m="1" x="1067"/>
        <item m="1" x="974"/>
        <item m="1" x="1139"/>
        <item m="1" x="1430"/>
        <item m="1" x="1076"/>
        <item m="1" x="1366"/>
        <item m="1" x="1267"/>
        <item m="1" x="1176"/>
        <item m="1" x="1161"/>
        <item m="1" x="1404"/>
        <item m="1" x="1209"/>
        <item m="1" x="1075"/>
        <item m="1" x="1102"/>
        <item m="1" x="1437"/>
        <item m="1" x="1223"/>
        <item m="1" x="987"/>
        <item m="1" x="1215"/>
        <item m="1" x="1237"/>
        <item m="1" x="1199"/>
        <item m="1" x="1164"/>
        <item m="1" x="992"/>
        <item m="1" x="1422"/>
        <item m="1" x="1135"/>
        <item m="1" x="1130"/>
        <item m="1" x="1143"/>
        <item m="1" x="1391"/>
        <item m="1" x="1236"/>
        <item m="1" x="1081"/>
        <item m="1" x="1337"/>
        <item m="1" x="1382"/>
        <item m="1" x="1294"/>
        <item m="1" x="1185"/>
        <item m="1" x="1405"/>
        <item m="1" x="1299"/>
        <item m="1" x="1094"/>
        <item m="1" x="1115"/>
        <item m="1" x="1421"/>
        <item m="1" x="1353"/>
        <item m="1" x="1432"/>
        <item m="1" x="1446"/>
        <item m="1" x="1110"/>
        <item m="1" x="985"/>
        <item m="1" x="1026"/>
        <item m="1" x="1359"/>
        <item m="1" x="968"/>
        <item m="1" x="975"/>
        <item m="1" x="1125"/>
        <item m="1" x="1069"/>
        <item m="1" x="1027"/>
        <item m="1" x="1039"/>
        <item m="1" x="1241"/>
        <item m="1" x="1050"/>
        <item m="1" x="1058"/>
        <item m="1" x="1436"/>
        <item m="1" x="1190"/>
        <item m="1" x="1014"/>
        <item m="1" x="1178"/>
        <item m="1" x="1126"/>
        <item m="1" x="1061"/>
        <item m="1" x="1100"/>
        <item m="1" x="1060"/>
        <item m="1" x="1012"/>
        <item m="1" x="1427"/>
        <item m="1" x="1022"/>
        <item m="1" x="1348"/>
        <item m="1" x="996"/>
        <item m="1" x="1080"/>
        <item m="1" x="1173"/>
        <item m="1" x="1127"/>
        <item m="1" x="1070"/>
        <item m="1" x="1274"/>
        <item m="1" x="1085"/>
        <item m="1" x="1172"/>
        <item m="1" x="1065"/>
        <item m="1" x="1289"/>
        <item m="1" x="1340"/>
        <item m="1" x="1250"/>
        <item m="1" x="1203"/>
        <item m="1" x="1090"/>
        <item m="1" x="1240"/>
        <item m="1" x="1207"/>
        <item m="1" x="1055"/>
        <item m="1" x="1106"/>
        <item m="1" x="977"/>
        <item m="1" x="1086"/>
        <item m="1" x="991"/>
        <item m="1" x="1279"/>
        <item m="1" x="1346"/>
        <item m="1" x="1057"/>
        <item m="1" x="1154"/>
        <item m="1" x="1364"/>
        <item m="1" x="1393"/>
        <item m="1" x="1231"/>
        <item m="1" x="1373"/>
        <item m="1" x="1455"/>
        <item m="1" x="1306"/>
        <item m="1" x="1440"/>
        <item m="1" x="1327"/>
        <item m="1" x="1345"/>
        <item m="1" x="1104"/>
        <item m="1" x="1386"/>
        <item m="1" x="1301"/>
        <item m="1" x="1136"/>
        <item m="1" x="1230"/>
        <item m="1" x="1388"/>
        <item m="1" x="1024"/>
        <item m="1" x="1196"/>
        <item m="1" x="1213"/>
        <item m="1" x="1220"/>
        <item m="1" x="1124"/>
        <item m="1" x="1447"/>
        <item m="1" x="1063"/>
        <item m="1" x="1042"/>
        <item m="1" x="1180"/>
        <item m="1" x="1163"/>
        <item m="1" x="1333"/>
        <item m="1" x="1407"/>
        <item m="1" x="1194"/>
        <item m="1" x="1344"/>
        <item m="1" x="1023"/>
        <item m="1" x="1362"/>
        <item m="1" x="1263"/>
        <item m="1" x="1099"/>
        <item m="1" x="1375"/>
        <item m="1" x="1290"/>
        <item m="1" x="1395"/>
        <item m="1" x="1009"/>
        <item m="1" x="1318"/>
        <item m="1" x="1256"/>
        <item m="1" x="1132"/>
        <item m="1" x="1053"/>
        <item m="1" x="998"/>
        <item m="1" x="1041"/>
        <item m="1" x="1226"/>
        <item m="1" x="1038"/>
        <item m="1" x="1356"/>
        <item m="1" x="1123"/>
        <item m="1" x="1032"/>
        <item m="1" x="1232"/>
        <item m="1" x="978"/>
        <item m="1" x="1244"/>
        <item m="1" x="1433"/>
        <item m="1" x="1278"/>
        <item m="1" x="1043"/>
        <item m="1" x="1117"/>
        <item m="1" x="1414"/>
        <item m="1" x="982"/>
        <item m="1" x="1419"/>
        <item m="1" x="1253"/>
        <item m="1" x="1297"/>
        <item m="1" x="1006"/>
        <item m="1" x="1227"/>
        <item m="1" x="1247"/>
        <item m="1" x="1002"/>
        <item m="1" x="1010"/>
        <item m="1" x="1072"/>
        <item m="1" x="1271"/>
        <item m="1" x="1426"/>
        <item m="1" x="1095"/>
        <item m="1" x="1159"/>
        <item m="1" x="1335"/>
        <item m="1" x="1352"/>
        <item m="1" x="1245"/>
        <item m="1" x="979"/>
        <item m="1" x="1442"/>
        <item m="1" x="1108"/>
        <item m="1" x="1160"/>
        <item m="1" x="1054"/>
        <item m="1" x="1310"/>
        <item m="1" x="1088"/>
        <item m="1" x="1317"/>
        <item m="1" x="1242"/>
        <item m="1" x="1342"/>
        <item m="1" x="1389"/>
        <item m="1" x="1033"/>
        <item m="1" x="1107"/>
        <item m="1" x="1443"/>
        <item m="1" x="1265"/>
        <item m="1" x="1087"/>
        <item m="1" x="1029"/>
        <item m="1" x="1224"/>
        <item m="1" x="1101"/>
        <item m="1" x="1034"/>
        <item m="1" x="1330"/>
        <item m="1" x="1071"/>
        <item m="1" x="1218"/>
        <item m="1" x="1328"/>
        <item m="1" x="1186"/>
        <item m="1" x="1249"/>
        <item m="1" x="1052"/>
        <item m="1" x="990"/>
        <item m="1" x="972"/>
        <item m="1" x="1406"/>
        <item m="1" x="1191"/>
        <item m="1" x="1246"/>
        <item m="1" x="1044"/>
        <item m="1" x="1189"/>
        <item m="1" x="1162"/>
        <item m="1" x="1295"/>
        <item m="1" x="1417"/>
        <item m="1" x="1429"/>
        <item m="1" x="1281"/>
        <item m="1" x="1357"/>
        <item m="1" x="1003"/>
        <item m="1" x="973"/>
        <item m="1" x="1182"/>
        <item m="1" x="1277"/>
        <item m="1" x="1411"/>
        <item m="1" x="981"/>
        <item m="1" x="1068"/>
        <item m="1" x="1035"/>
        <item m="1" x="1347"/>
        <item m="1" x="1082"/>
        <item m="1" x="1444"/>
        <item m="1" x="1323"/>
        <item m="1" x="1320"/>
        <item m="1" x="1166"/>
        <item m="1" x="1243"/>
        <item m="1" x="1073"/>
        <item m="1" x="1188"/>
        <item m="1" x="1096"/>
        <item m="1" x="1114"/>
        <item m="1" x="1438"/>
        <item m="1" x="1121"/>
        <item m="1" x="1195"/>
        <item m="1" x="1049"/>
        <item m="1" x="1184"/>
        <item m="1" x="1381"/>
        <item m="1" x="1146"/>
        <item m="1" x="1287"/>
        <item m="1" x="1424"/>
        <item m="1" x="1233"/>
        <item m="1" x="1152"/>
        <item m="1" x="1148"/>
        <item m="1" x="1441"/>
        <item m="1" x="1434"/>
        <item m="1" x="1305"/>
        <item m="1" x="1451"/>
        <item m="1" x="1351"/>
        <item m="1" x="1225"/>
        <item m="1" x="1268"/>
        <item m="1" x="1300"/>
        <item m="1" x="1266"/>
        <item m="1" x="1270"/>
        <item m="1" x="1264"/>
        <item m="1" x="1077"/>
        <item x="0"/>
        <item x="1"/>
        <item x="2"/>
        <item x="3"/>
        <item x="4"/>
        <item x="5"/>
        <item x="6"/>
        <item x="7"/>
        <item x="8"/>
        <item x="9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x="367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t="default"/>
      </items>
    </pivotField>
  </pivotFields>
  <rowFields count="1">
    <field x="0"/>
  </rowFields>
  <rowItems count="490"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856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FAD6-096D-4B6D-96F1-6CEC1DD9DCFB}">
  <dimension ref="A3:A493"/>
  <sheetViews>
    <sheetView tabSelected="1" workbookViewId="0">
      <pane xSplit="1" ySplit="6" topLeftCell="B464" activePane="bottomRight" state="frozen"/>
      <selection pane="topRight" activeCell="B1" sqref="B1"/>
      <selection pane="bottomLeft" activeCell="A7" sqref="A7"/>
      <selection pane="bottomRight" activeCell="A468" sqref="A4:A492"/>
      <pivotSelection showHeader="1" activeRow="467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0.199999999999999" x14ac:dyDescent="0.2"/>
  <cols>
    <col min="1" max="1" width="33.85546875" bestFit="1" customWidth="1"/>
  </cols>
  <sheetData>
    <row r="3" spans="1:1" x14ac:dyDescent="0.2">
      <c r="A3" s="3" t="s">
        <v>136</v>
      </c>
    </row>
    <row r="4" spans="1:1" x14ac:dyDescent="0.2">
      <c r="A4" s="4" t="s">
        <v>138</v>
      </c>
    </row>
    <row r="5" spans="1:1" x14ac:dyDescent="0.2">
      <c r="A5" s="4" t="s">
        <v>139</v>
      </c>
    </row>
    <row r="6" spans="1:1" x14ac:dyDescent="0.2">
      <c r="A6" s="4" t="s">
        <v>140</v>
      </c>
    </row>
    <row r="7" spans="1:1" x14ac:dyDescent="0.2">
      <c r="A7" s="4" t="s">
        <v>141</v>
      </c>
    </row>
    <row r="8" spans="1:1" x14ac:dyDescent="0.2">
      <c r="A8" s="4" t="s">
        <v>142</v>
      </c>
    </row>
    <row r="9" spans="1:1" x14ac:dyDescent="0.2">
      <c r="A9" s="4" t="s">
        <v>143</v>
      </c>
    </row>
    <row r="10" spans="1:1" x14ac:dyDescent="0.2">
      <c r="A10" s="4" t="s">
        <v>144</v>
      </c>
    </row>
    <row r="11" spans="1:1" x14ac:dyDescent="0.2">
      <c r="A11" s="4" t="s">
        <v>145</v>
      </c>
    </row>
    <row r="12" spans="1:1" x14ac:dyDescent="0.2">
      <c r="A12" s="4" t="s">
        <v>146</v>
      </c>
    </row>
    <row r="13" spans="1:1" x14ac:dyDescent="0.2">
      <c r="A13" s="4" t="s">
        <v>147</v>
      </c>
    </row>
    <row r="14" spans="1:1" x14ac:dyDescent="0.2">
      <c r="A14" s="4" t="s">
        <v>148</v>
      </c>
    </row>
    <row r="15" spans="1:1" x14ac:dyDescent="0.2">
      <c r="A15" s="4" t="s">
        <v>150</v>
      </c>
    </row>
    <row r="16" spans="1:1" x14ac:dyDescent="0.2">
      <c r="A16" s="4" t="s">
        <v>151</v>
      </c>
    </row>
    <row r="17" spans="1:1" x14ac:dyDescent="0.2">
      <c r="A17" s="4" t="s">
        <v>152</v>
      </c>
    </row>
    <row r="18" spans="1:1" x14ac:dyDescent="0.2">
      <c r="A18" s="4" t="s">
        <v>153</v>
      </c>
    </row>
    <row r="19" spans="1:1" x14ac:dyDescent="0.2">
      <c r="A19" s="4" t="s">
        <v>154</v>
      </c>
    </row>
    <row r="20" spans="1:1" x14ac:dyDescent="0.2">
      <c r="A20" s="4" t="s">
        <v>155</v>
      </c>
    </row>
    <row r="21" spans="1:1" x14ac:dyDescent="0.2">
      <c r="A21" s="4" t="s">
        <v>156</v>
      </c>
    </row>
    <row r="22" spans="1:1" x14ac:dyDescent="0.2">
      <c r="A22" s="4" t="s">
        <v>157</v>
      </c>
    </row>
    <row r="23" spans="1:1" x14ac:dyDescent="0.2">
      <c r="A23" s="4" t="s">
        <v>158</v>
      </c>
    </row>
    <row r="24" spans="1:1" x14ac:dyDescent="0.2">
      <c r="A24" s="4" t="s">
        <v>159</v>
      </c>
    </row>
    <row r="25" spans="1:1" x14ac:dyDescent="0.2">
      <c r="A25" s="4" t="s">
        <v>160</v>
      </c>
    </row>
    <row r="26" spans="1:1" x14ac:dyDescent="0.2">
      <c r="A26" s="4" t="s">
        <v>161</v>
      </c>
    </row>
    <row r="27" spans="1:1" x14ac:dyDescent="0.2">
      <c r="A27" s="4" t="s">
        <v>162</v>
      </c>
    </row>
    <row r="28" spans="1:1" x14ac:dyDescent="0.2">
      <c r="A28" s="4" t="s">
        <v>163</v>
      </c>
    </row>
    <row r="29" spans="1:1" x14ac:dyDescent="0.2">
      <c r="A29" s="4" t="s">
        <v>164</v>
      </c>
    </row>
    <row r="30" spans="1:1" x14ac:dyDescent="0.2">
      <c r="A30" s="4" t="s">
        <v>165</v>
      </c>
    </row>
    <row r="31" spans="1:1" x14ac:dyDescent="0.2">
      <c r="A31" s="4" t="s">
        <v>166</v>
      </c>
    </row>
    <row r="32" spans="1:1" x14ac:dyDescent="0.2">
      <c r="A32" s="4" t="s">
        <v>167</v>
      </c>
    </row>
    <row r="33" spans="1:1" x14ac:dyDescent="0.2">
      <c r="A33" s="4" t="s">
        <v>168</v>
      </c>
    </row>
    <row r="34" spans="1:1" x14ac:dyDescent="0.2">
      <c r="A34" s="4" t="s">
        <v>169</v>
      </c>
    </row>
    <row r="35" spans="1:1" x14ac:dyDescent="0.2">
      <c r="A35" s="4" t="s">
        <v>170</v>
      </c>
    </row>
    <row r="36" spans="1:1" x14ac:dyDescent="0.2">
      <c r="A36" s="4" t="s">
        <v>171</v>
      </c>
    </row>
    <row r="37" spans="1:1" x14ac:dyDescent="0.2">
      <c r="A37" s="4" t="s">
        <v>172</v>
      </c>
    </row>
    <row r="38" spans="1:1" x14ac:dyDescent="0.2">
      <c r="A38" s="4" t="s">
        <v>173</v>
      </c>
    </row>
    <row r="39" spans="1:1" x14ac:dyDescent="0.2">
      <c r="A39" s="4" t="s">
        <v>174</v>
      </c>
    </row>
    <row r="40" spans="1:1" x14ac:dyDescent="0.2">
      <c r="A40" s="4" t="s">
        <v>175</v>
      </c>
    </row>
    <row r="41" spans="1:1" x14ac:dyDescent="0.2">
      <c r="A41" s="4" t="s">
        <v>176</v>
      </c>
    </row>
    <row r="42" spans="1:1" x14ac:dyDescent="0.2">
      <c r="A42" s="4" t="s">
        <v>177</v>
      </c>
    </row>
    <row r="43" spans="1:1" x14ac:dyDescent="0.2">
      <c r="A43" s="4" t="s">
        <v>178</v>
      </c>
    </row>
    <row r="44" spans="1:1" x14ac:dyDescent="0.2">
      <c r="A44" s="4" t="s">
        <v>179</v>
      </c>
    </row>
    <row r="45" spans="1:1" x14ac:dyDescent="0.2">
      <c r="A45" s="4" t="s">
        <v>180</v>
      </c>
    </row>
    <row r="46" spans="1:1" x14ac:dyDescent="0.2">
      <c r="A46" s="4" t="s">
        <v>181</v>
      </c>
    </row>
    <row r="47" spans="1:1" x14ac:dyDescent="0.2">
      <c r="A47" s="4" t="s">
        <v>182</v>
      </c>
    </row>
    <row r="48" spans="1:1" x14ac:dyDescent="0.2">
      <c r="A48" s="4" t="s">
        <v>183</v>
      </c>
    </row>
    <row r="49" spans="1:1" x14ac:dyDescent="0.2">
      <c r="A49" s="4" t="s">
        <v>184</v>
      </c>
    </row>
    <row r="50" spans="1:1" x14ac:dyDescent="0.2">
      <c r="A50" s="4" t="s">
        <v>185</v>
      </c>
    </row>
    <row r="51" spans="1:1" x14ac:dyDescent="0.2">
      <c r="A51" s="4" t="s">
        <v>186</v>
      </c>
    </row>
    <row r="52" spans="1:1" x14ac:dyDescent="0.2">
      <c r="A52" s="4" t="s">
        <v>187</v>
      </c>
    </row>
    <row r="53" spans="1:1" x14ac:dyDescent="0.2">
      <c r="A53" s="4" t="s">
        <v>188</v>
      </c>
    </row>
    <row r="54" spans="1:1" x14ac:dyDescent="0.2">
      <c r="A54" s="4" t="s">
        <v>189</v>
      </c>
    </row>
    <row r="55" spans="1:1" x14ac:dyDescent="0.2">
      <c r="A55" s="4" t="s">
        <v>190</v>
      </c>
    </row>
    <row r="56" spans="1:1" x14ac:dyDescent="0.2">
      <c r="A56" s="4" t="s">
        <v>191</v>
      </c>
    </row>
    <row r="57" spans="1:1" x14ac:dyDescent="0.2">
      <c r="A57" s="4" t="s">
        <v>192</v>
      </c>
    </row>
    <row r="58" spans="1:1" x14ac:dyDescent="0.2">
      <c r="A58" s="4" t="s">
        <v>193</v>
      </c>
    </row>
    <row r="59" spans="1:1" x14ac:dyDescent="0.2">
      <c r="A59" s="4" t="s">
        <v>194</v>
      </c>
    </row>
    <row r="60" spans="1:1" x14ac:dyDescent="0.2">
      <c r="A60" s="4" t="s">
        <v>195</v>
      </c>
    </row>
    <row r="61" spans="1:1" x14ac:dyDescent="0.2">
      <c r="A61" s="4" t="s">
        <v>196</v>
      </c>
    </row>
    <row r="62" spans="1:1" x14ac:dyDescent="0.2">
      <c r="A62" s="4" t="s">
        <v>197</v>
      </c>
    </row>
    <row r="63" spans="1:1" x14ac:dyDescent="0.2">
      <c r="A63" s="4" t="s">
        <v>198</v>
      </c>
    </row>
    <row r="64" spans="1:1" x14ac:dyDescent="0.2">
      <c r="A64" s="4" t="s">
        <v>199</v>
      </c>
    </row>
    <row r="65" spans="1:1" x14ac:dyDescent="0.2">
      <c r="A65" s="4" t="s">
        <v>200</v>
      </c>
    </row>
    <row r="66" spans="1:1" x14ac:dyDescent="0.2">
      <c r="A66" s="4" t="s">
        <v>201</v>
      </c>
    </row>
    <row r="67" spans="1:1" x14ac:dyDescent="0.2">
      <c r="A67" s="4" t="s">
        <v>202</v>
      </c>
    </row>
    <row r="68" spans="1:1" x14ac:dyDescent="0.2">
      <c r="A68" s="4" t="s">
        <v>203</v>
      </c>
    </row>
    <row r="69" spans="1:1" x14ac:dyDescent="0.2">
      <c r="A69" s="4" t="s">
        <v>204</v>
      </c>
    </row>
    <row r="70" spans="1:1" x14ac:dyDescent="0.2">
      <c r="A70" s="4" t="s">
        <v>205</v>
      </c>
    </row>
    <row r="71" spans="1:1" x14ac:dyDescent="0.2">
      <c r="A71" s="4" t="s">
        <v>206</v>
      </c>
    </row>
    <row r="72" spans="1:1" x14ac:dyDescent="0.2">
      <c r="A72" s="4" t="s">
        <v>207</v>
      </c>
    </row>
    <row r="73" spans="1:1" x14ac:dyDescent="0.2">
      <c r="A73" s="4" t="s">
        <v>208</v>
      </c>
    </row>
    <row r="74" spans="1:1" x14ac:dyDescent="0.2">
      <c r="A74" s="4" t="s">
        <v>209</v>
      </c>
    </row>
    <row r="75" spans="1:1" x14ac:dyDescent="0.2">
      <c r="A75" s="4" t="s">
        <v>210</v>
      </c>
    </row>
    <row r="76" spans="1:1" x14ac:dyDescent="0.2">
      <c r="A76" s="4" t="s">
        <v>211</v>
      </c>
    </row>
    <row r="77" spans="1:1" x14ac:dyDescent="0.2">
      <c r="A77" s="4" t="s">
        <v>212</v>
      </c>
    </row>
    <row r="78" spans="1:1" x14ac:dyDescent="0.2">
      <c r="A78" s="4" t="s">
        <v>213</v>
      </c>
    </row>
    <row r="79" spans="1:1" x14ac:dyDescent="0.2">
      <c r="A79" s="4" t="s">
        <v>214</v>
      </c>
    </row>
    <row r="80" spans="1:1" x14ac:dyDescent="0.2">
      <c r="A80" s="4" t="s">
        <v>215</v>
      </c>
    </row>
    <row r="81" spans="1:1" x14ac:dyDescent="0.2">
      <c r="A81" s="4" t="s">
        <v>216</v>
      </c>
    </row>
    <row r="82" spans="1:1" x14ac:dyDescent="0.2">
      <c r="A82" s="4" t="s">
        <v>217</v>
      </c>
    </row>
    <row r="83" spans="1:1" x14ac:dyDescent="0.2">
      <c r="A83" s="4" t="s">
        <v>218</v>
      </c>
    </row>
    <row r="84" spans="1:1" x14ac:dyDescent="0.2">
      <c r="A84" s="4" t="s">
        <v>219</v>
      </c>
    </row>
    <row r="85" spans="1:1" x14ac:dyDescent="0.2">
      <c r="A85" s="4" t="s">
        <v>220</v>
      </c>
    </row>
    <row r="86" spans="1:1" x14ac:dyDescent="0.2">
      <c r="A86" s="4" t="s">
        <v>221</v>
      </c>
    </row>
    <row r="87" spans="1:1" x14ac:dyDescent="0.2">
      <c r="A87" s="4" t="s">
        <v>222</v>
      </c>
    </row>
    <row r="88" spans="1:1" x14ac:dyDescent="0.2">
      <c r="A88" s="4" t="s">
        <v>223</v>
      </c>
    </row>
    <row r="89" spans="1:1" x14ac:dyDescent="0.2">
      <c r="A89" s="4" t="s">
        <v>224</v>
      </c>
    </row>
    <row r="90" spans="1:1" x14ac:dyDescent="0.2">
      <c r="A90" s="4" t="s">
        <v>225</v>
      </c>
    </row>
    <row r="91" spans="1:1" x14ac:dyDescent="0.2">
      <c r="A91" s="4" t="s">
        <v>226</v>
      </c>
    </row>
    <row r="92" spans="1:1" x14ac:dyDescent="0.2">
      <c r="A92" s="4" t="s">
        <v>227</v>
      </c>
    </row>
    <row r="93" spans="1:1" x14ac:dyDescent="0.2">
      <c r="A93" s="4" t="s">
        <v>228</v>
      </c>
    </row>
    <row r="94" spans="1:1" x14ac:dyDescent="0.2">
      <c r="A94" s="4" t="s">
        <v>229</v>
      </c>
    </row>
    <row r="95" spans="1:1" x14ac:dyDescent="0.2">
      <c r="A95" s="4" t="s">
        <v>230</v>
      </c>
    </row>
    <row r="96" spans="1:1" x14ac:dyDescent="0.2">
      <c r="A96" s="4" t="s">
        <v>231</v>
      </c>
    </row>
    <row r="97" spans="1:1" x14ac:dyDescent="0.2">
      <c r="A97" s="4" t="s">
        <v>232</v>
      </c>
    </row>
    <row r="98" spans="1:1" x14ac:dyDescent="0.2">
      <c r="A98" s="4" t="s">
        <v>233</v>
      </c>
    </row>
    <row r="99" spans="1:1" x14ac:dyDescent="0.2">
      <c r="A99" s="4" t="s">
        <v>234</v>
      </c>
    </row>
    <row r="100" spans="1:1" x14ac:dyDescent="0.2">
      <c r="A100" s="4" t="s">
        <v>235</v>
      </c>
    </row>
    <row r="101" spans="1:1" x14ac:dyDescent="0.2">
      <c r="A101" s="4" t="s">
        <v>236</v>
      </c>
    </row>
    <row r="102" spans="1:1" x14ac:dyDescent="0.2">
      <c r="A102" s="4" t="s">
        <v>237</v>
      </c>
    </row>
    <row r="103" spans="1:1" x14ac:dyDescent="0.2">
      <c r="A103" s="4" t="s">
        <v>238</v>
      </c>
    </row>
    <row r="104" spans="1:1" x14ac:dyDescent="0.2">
      <c r="A104" s="4" t="s">
        <v>239</v>
      </c>
    </row>
    <row r="105" spans="1:1" x14ac:dyDescent="0.2">
      <c r="A105" s="4" t="s">
        <v>240</v>
      </c>
    </row>
    <row r="106" spans="1:1" x14ac:dyDescent="0.2">
      <c r="A106" s="4" t="s">
        <v>241</v>
      </c>
    </row>
    <row r="107" spans="1:1" x14ac:dyDescent="0.2">
      <c r="A107" s="4" t="s">
        <v>242</v>
      </c>
    </row>
    <row r="108" spans="1:1" x14ac:dyDescent="0.2">
      <c r="A108" s="4" t="s">
        <v>243</v>
      </c>
    </row>
    <row r="109" spans="1:1" x14ac:dyDescent="0.2">
      <c r="A109" s="4" t="s">
        <v>244</v>
      </c>
    </row>
    <row r="110" spans="1:1" x14ac:dyDescent="0.2">
      <c r="A110" s="4" t="s">
        <v>245</v>
      </c>
    </row>
    <row r="111" spans="1:1" x14ac:dyDescent="0.2">
      <c r="A111" s="4" t="s">
        <v>246</v>
      </c>
    </row>
    <row r="112" spans="1:1" x14ac:dyDescent="0.2">
      <c r="A112" s="4" t="s">
        <v>247</v>
      </c>
    </row>
    <row r="113" spans="1:1" x14ac:dyDescent="0.2">
      <c r="A113" s="4" t="s">
        <v>248</v>
      </c>
    </row>
    <row r="114" spans="1:1" x14ac:dyDescent="0.2">
      <c r="A114" s="4" t="s">
        <v>249</v>
      </c>
    </row>
    <row r="115" spans="1:1" x14ac:dyDescent="0.2">
      <c r="A115" s="4" t="s">
        <v>250</v>
      </c>
    </row>
    <row r="116" spans="1:1" x14ac:dyDescent="0.2">
      <c r="A116" s="4" t="s">
        <v>251</v>
      </c>
    </row>
    <row r="117" spans="1:1" x14ac:dyDescent="0.2">
      <c r="A117" s="4" t="s">
        <v>252</v>
      </c>
    </row>
    <row r="118" spans="1:1" x14ac:dyDescent="0.2">
      <c r="A118" s="4" t="s">
        <v>253</v>
      </c>
    </row>
    <row r="119" spans="1:1" x14ac:dyDescent="0.2">
      <c r="A119" s="4" t="s">
        <v>254</v>
      </c>
    </row>
    <row r="120" spans="1:1" x14ac:dyDescent="0.2">
      <c r="A120" s="4" t="s">
        <v>255</v>
      </c>
    </row>
    <row r="121" spans="1:1" x14ac:dyDescent="0.2">
      <c r="A121" s="4" t="s">
        <v>256</v>
      </c>
    </row>
    <row r="122" spans="1:1" x14ac:dyDescent="0.2">
      <c r="A122" s="4" t="s">
        <v>257</v>
      </c>
    </row>
    <row r="123" spans="1:1" x14ac:dyDescent="0.2">
      <c r="A123" s="4" t="s">
        <v>258</v>
      </c>
    </row>
    <row r="124" spans="1:1" x14ac:dyDescent="0.2">
      <c r="A124" s="4" t="s">
        <v>259</v>
      </c>
    </row>
    <row r="125" spans="1:1" x14ac:dyDescent="0.2">
      <c r="A125" s="4" t="s">
        <v>260</v>
      </c>
    </row>
    <row r="126" spans="1:1" x14ac:dyDescent="0.2">
      <c r="A126" s="4" t="s">
        <v>261</v>
      </c>
    </row>
    <row r="127" spans="1:1" x14ac:dyDescent="0.2">
      <c r="A127" s="4" t="s">
        <v>262</v>
      </c>
    </row>
    <row r="128" spans="1:1" x14ac:dyDescent="0.2">
      <c r="A128" s="4" t="s">
        <v>263</v>
      </c>
    </row>
    <row r="129" spans="1:1" x14ac:dyDescent="0.2">
      <c r="A129" s="4" t="s">
        <v>264</v>
      </c>
    </row>
    <row r="130" spans="1:1" x14ac:dyDescent="0.2">
      <c r="A130" s="4" t="s">
        <v>265</v>
      </c>
    </row>
    <row r="131" spans="1:1" x14ac:dyDescent="0.2">
      <c r="A131" s="4" t="s">
        <v>266</v>
      </c>
    </row>
    <row r="132" spans="1:1" x14ac:dyDescent="0.2">
      <c r="A132" s="4" t="s">
        <v>267</v>
      </c>
    </row>
    <row r="133" spans="1:1" x14ac:dyDescent="0.2">
      <c r="A133" s="4" t="s">
        <v>268</v>
      </c>
    </row>
    <row r="134" spans="1:1" x14ac:dyDescent="0.2">
      <c r="A134" s="4" t="s">
        <v>269</v>
      </c>
    </row>
    <row r="135" spans="1:1" x14ac:dyDescent="0.2">
      <c r="A135" s="4" t="s">
        <v>270</v>
      </c>
    </row>
    <row r="136" spans="1:1" x14ac:dyDescent="0.2">
      <c r="A136" s="4" t="s">
        <v>271</v>
      </c>
    </row>
    <row r="137" spans="1:1" x14ac:dyDescent="0.2">
      <c r="A137" s="4" t="s">
        <v>272</v>
      </c>
    </row>
    <row r="138" spans="1:1" x14ac:dyDescent="0.2">
      <c r="A138" s="4" t="s">
        <v>273</v>
      </c>
    </row>
    <row r="139" spans="1:1" x14ac:dyDescent="0.2">
      <c r="A139" s="4" t="s">
        <v>274</v>
      </c>
    </row>
    <row r="140" spans="1:1" x14ac:dyDescent="0.2">
      <c r="A140" s="4" t="s">
        <v>275</v>
      </c>
    </row>
    <row r="141" spans="1:1" x14ac:dyDescent="0.2">
      <c r="A141" s="4" t="s">
        <v>276</v>
      </c>
    </row>
    <row r="142" spans="1:1" x14ac:dyDescent="0.2">
      <c r="A142" s="4" t="s">
        <v>277</v>
      </c>
    </row>
    <row r="143" spans="1:1" x14ac:dyDescent="0.2">
      <c r="A143" s="4" t="s">
        <v>278</v>
      </c>
    </row>
    <row r="144" spans="1:1" x14ac:dyDescent="0.2">
      <c r="A144" s="4" t="s">
        <v>279</v>
      </c>
    </row>
    <row r="145" spans="1:1" x14ac:dyDescent="0.2">
      <c r="A145" s="4" t="s">
        <v>280</v>
      </c>
    </row>
    <row r="146" spans="1:1" x14ac:dyDescent="0.2">
      <c r="A146" s="4" t="s">
        <v>281</v>
      </c>
    </row>
    <row r="147" spans="1:1" x14ac:dyDescent="0.2">
      <c r="A147" s="4" t="s">
        <v>282</v>
      </c>
    </row>
    <row r="148" spans="1:1" x14ac:dyDescent="0.2">
      <c r="A148" s="4" t="s">
        <v>283</v>
      </c>
    </row>
    <row r="149" spans="1:1" x14ac:dyDescent="0.2">
      <c r="A149" s="4" t="s">
        <v>284</v>
      </c>
    </row>
    <row r="150" spans="1:1" x14ac:dyDescent="0.2">
      <c r="A150" s="4" t="s">
        <v>285</v>
      </c>
    </row>
    <row r="151" spans="1:1" x14ac:dyDescent="0.2">
      <c r="A151" s="4" t="s">
        <v>286</v>
      </c>
    </row>
    <row r="152" spans="1:1" x14ac:dyDescent="0.2">
      <c r="A152" s="4" t="s">
        <v>287</v>
      </c>
    </row>
    <row r="153" spans="1:1" x14ac:dyDescent="0.2">
      <c r="A153" s="4" t="s">
        <v>288</v>
      </c>
    </row>
    <row r="154" spans="1:1" x14ac:dyDescent="0.2">
      <c r="A154" s="4" t="s">
        <v>289</v>
      </c>
    </row>
    <row r="155" spans="1:1" x14ac:dyDescent="0.2">
      <c r="A155" s="4" t="s">
        <v>290</v>
      </c>
    </row>
    <row r="156" spans="1:1" x14ac:dyDescent="0.2">
      <c r="A156" s="4" t="s">
        <v>291</v>
      </c>
    </row>
    <row r="157" spans="1:1" x14ac:dyDescent="0.2">
      <c r="A157" s="4" t="s">
        <v>292</v>
      </c>
    </row>
    <row r="158" spans="1:1" x14ac:dyDescent="0.2">
      <c r="A158" s="4" t="s">
        <v>293</v>
      </c>
    </row>
    <row r="159" spans="1:1" x14ac:dyDescent="0.2">
      <c r="A159" s="4" t="s">
        <v>294</v>
      </c>
    </row>
    <row r="160" spans="1:1" x14ac:dyDescent="0.2">
      <c r="A160" s="4" t="s">
        <v>295</v>
      </c>
    </row>
    <row r="161" spans="1:1" x14ac:dyDescent="0.2">
      <c r="A161" s="4" t="s">
        <v>296</v>
      </c>
    </row>
    <row r="162" spans="1:1" x14ac:dyDescent="0.2">
      <c r="A162" s="4" t="s">
        <v>297</v>
      </c>
    </row>
    <row r="163" spans="1:1" x14ac:dyDescent="0.2">
      <c r="A163" s="4" t="s">
        <v>298</v>
      </c>
    </row>
    <row r="164" spans="1:1" x14ac:dyDescent="0.2">
      <c r="A164" s="4" t="s">
        <v>299</v>
      </c>
    </row>
    <row r="165" spans="1:1" x14ac:dyDescent="0.2">
      <c r="A165" s="4" t="s">
        <v>300</v>
      </c>
    </row>
    <row r="166" spans="1:1" x14ac:dyDescent="0.2">
      <c r="A166" s="4" t="s">
        <v>301</v>
      </c>
    </row>
    <row r="167" spans="1:1" x14ac:dyDescent="0.2">
      <c r="A167" s="4" t="s">
        <v>302</v>
      </c>
    </row>
    <row r="168" spans="1:1" x14ac:dyDescent="0.2">
      <c r="A168" s="4" t="s">
        <v>303</v>
      </c>
    </row>
    <row r="169" spans="1:1" x14ac:dyDescent="0.2">
      <c r="A169" s="4" t="s">
        <v>304</v>
      </c>
    </row>
    <row r="170" spans="1:1" x14ac:dyDescent="0.2">
      <c r="A170" s="4" t="s">
        <v>305</v>
      </c>
    </row>
    <row r="171" spans="1:1" x14ac:dyDescent="0.2">
      <c r="A171" s="4" t="s">
        <v>306</v>
      </c>
    </row>
    <row r="172" spans="1:1" x14ac:dyDescent="0.2">
      <c r="A172" s="4" t="s">
        <v>307</v>
      </c>
    </row>
    <row r="173" spans="1:1" x14ac:dyDescent="0.2">
      <c r="A173" s="4" t="s">
        <v>308</v>
      </c>
    </row>
    <row r="174" spans="1:1" x14ac:dyDescent="0.2">
      <c r="A174" s="4" t="s">
        <v>309</v>
      </c>
    </row>
    <row r="175" spans="1:1" x14ac:dyDescent="0.2">
      <c r="A175" s="4" t="s">
        <v>310</v>
      </c>
    </row>
    <row r="176" spans="1:1" x14ac:dyDescent="0.2">
      <c r="A176" s="4" t="s">
        <v>311</v>
      </c>
    </row>
    <row r="177" spans="1:1" x14ac:dyDescent="0.2">
      <c r="A177" s="4" t="s">
        <v>312</v>
      </c>
    </row>
    <row r="178" spans="1:1" x14ac:dyDescent="0.2">
      <c r="A178" s="4" t="s">
        <v>313</v>
      </c>
    </row>
    <row r="179" spans="1:1" x14ac:dyDescent="0.2">
      <c r="A179" s="4" t="s">
        <v>314</v>
      </c>
    </row>
    <row r="180" spans="1:1" x14ac:dyDescent="0.2">
      <c r="A180" s="4" t="s">
        <v>315</v>
      </c>
    </row>
    <row r="181" spans="1:1" x14ac:dyDescent="0.2">
      <c r="A181" s="4" t="s">
        <v>316</v>
      </c>
    </row>
    <row r="182" spans="1:1" x14ac:dyDescent="0.2">
      <c r="A182" s="4" t="s">
        <v>317</v>
      </c>
    </row>
    <row r="183" spans="1:1" x14ac:dyDescent="0.2">
      <c r="A183" s="4" t="s">
        <v>318</v>
      </c>
    </row>
    <row r="184" spans="1:1" x14ac:dyDescent="0.2">
      <c r="A184" s="4" t="s">
        <v>319</v>
      </c>
    </row>
    <row r="185" spans="1:1" x14ac:dyDescent="0.2">
      <c r="A185" s="4" t="s">
        <v>320</v>
      </c>
    </row>
    <row r="186" spans="1:1" x14ac:dyDescent="0.2">
      <c r="A186" s="4" t="s">
        <v>321</v>
      </c>
    </row>
    <row r="187" spans="1:1" x14ac:dyDescent="0.2">
      <c r="A187" s="4" t="s">
        <v>322</v>
      </c>
    </row>
    <row r="188" spans="1:1" x14ac:dyDescent="0.2">
      <c r="A188" s="4" t="s">
        <v>323</v>
      </c>
    </row>
    <row r="189" spans="1:1" x14ac:dyDescent="0.2">
      <c r="A189" s="4" t="s">
        <v>324</v>
      </c>
    </row>
    <row r="190" spans="1:1" x14ac:dyDescent="0.2">
      <c r="A190" s="4" t="s">
        <v>325</v>
      </c>
    </row>
    <row r="191" spans="1:1" x14ac:dyDescent="0.2">
      <c r="A191" s="4" t="s">
        <v>326</v>
      </c>
    </row>
    <row r="192" spans="1:1" x14ac:dyDescent="0.2">
      <c r="A192" s="4" t="s">
        <v>327</v>
      </c>
    </row>
    <row r="193" spans="1:1" x14ac:dyDescent="0.2">
      <c r="A193" s="4" t="s">
        <v>328</v>
      </c>
    </row>
    <row r="194" spans="1:1" x14ac:dyDescent="0.2">
      <c r="A194" s="4" t="s">
        <v>329</v>
      </c>
    </row>
    <row r="195" spans="1:1" x14ac:dyDescent="0.2">
      <c r="A195" s="4" t="s">
        <v>330</v>
      </c>
    </row>
    <row r="196" spans="1:1" x14ac:dyDescent="0.2">
      <c r="A196" s="4" t="s">
        <v>331</v>
      </c>
    </row>
    <row r="197" spans="1:1" x14ac:dyDescent="0.2">
      <c r="A197" s="4" t="s">
        <v>332</v>
      </c>
    </row>
    <row r="198" spans="1:1" x14ac:dyDescent="0.2">
      <c r="A198" s="4" t="s">
        <v>333</v>
      </c>
    </row>
    <row r="199" spans="1:1" x14ac:dyDescent="0.2">
      <c r="A199" s="4" t="s">
        <v>334</v>
      </c>
    </row>
    <row r="200" spans="1:1" x14ac:dyDescent="0.2">
      <c r="A200" s="4" t="s">
        <v>335</v>
      </c>
    </row>
    <row r="201" spans="1:1" x14ac:dyDescent="0.2">
      <c r="A201" s="4" t="s">
        <v>336</v>
      </c>
    </row>
    <row r="202" spans="1:1" x14ac:dyDescent="0.2">
      <c r="A202" s="4" t="s">
        <v>337</v>
      </c>
    </row>
    <row r="203" spans="1:1" x14ac:dyDescent="0.2">
      <c r="A203" s="4" t="s">
        <v>338</v>
      </c>
    </row>
    <row r="204" spans="1:1" x14ac:dyDescent="0.2">
      <c r="A204" s="4" t="s">
        <v>339</v>
      </c>
    </row>
    <row r="205" spans="1:1" x14ac:dyDescent="0.2">
      <c r="A205" s="4" t="s">
        <v>340</v>
      </c>
    </row>
    <row r="206" spans="1:1" x14ac:dyDescent="0.2">
      <c r="A206" s="4" t="s">
        <v>341</v>
      </c>
    </row>
    <row r="207" spans="1:1" x14ac:dyDescent="0.2">
      <c r="A207" s="4" t="s">
        <v>342</v>
      </c>
    </row>
    <row r="208" spans="1:1" x14ac:dyDescent="0.2">
      <c r="A208" s="4" t="s">
        <v>343</v>
      </c>
    </row>
    <row r="209" spans="1:1" x14ac:dyDescent="0.2">
      <c r="A209" s="4" t="s">
        <v>344</v>
      </c>
    </row>
    <row r="210" spans="1:1" x14ac:dyDescent="0.2">
      <c r="A210" s="4" t="s">
        <v>345</v>
      </c>
    </row>
    <row r="211" spans="1:1" x14ac:dyDescent="0.2">
      <c r="A211" s="4" t="s">
        <v>346</v>
      </c>
    </row>
    <row r="212" spans="1:1" x14ac:dyDescent="0.2">
      <c r="A212" s="4" t="s">
        <v>347</v>
      </c>
    </row>
    <row r="213" spans="1:1" x14ac:dyDescent="0.2">
      <c r="A213" s="4" t="s">
        <v>348</v>
      </c>
    </row>
    <row r="214" spans="1:1" x14ac:dyDescent="0.2">
      <c r="A214" s="4" t="s">
        <v>349</v>
      </c>
    </row>
    <row r="215" spans="1:1" x14ac:dyDescent="0.2">
      <c r="A215" s="4" t="s">
        <v>350</v>
      </c>
    </row>
    <row r="216" spans="1:1" x14ac:dyDescent="0.2">
      <c r="A216" s="4" t="s">
        <v>351</v>
      </c>
    </row>
    <row r="217" spans="1:1" x14ac:dyDescent="0.2">
      <c r="A217" s="4" t="s">
        <v>352</v>
      </c>
    </row>
    <row r="218" spans="1:1" x14ac:dyDescent="0.2">
      <c r="A218" s="4" t="s">
        <v>353</v>
      </c>
    </row>
    <row r="219" spans="1:1" x14ac:dyDescent="0.2">
      <c r="A219" s="4" t="s">
        <v>354</v>
      </c>
    </row>
    <row r="220" spans="1:1" x14ac:dyDescent="0.2">
      <c r="A220" s="4" t="s">
        <v>355</v>
      </c>
    </row>
    <row r="221" spans="1:1" x14ac:dyDescent="0.2">
      <c r="A221" s="4" t="s">
        <v>356</v>
      </c>
    </row>
    <row r="222" spans="1:1" x14ac:dyDescent="0.2">
      <c r="A222" s="4" t="s">
        <v>357</v>
      </c>
    </row>
    <row r="223" spans="1:1" x14ac:dyDescent="0.2">
      <c r="A223" s="4" t="s">
        <v>358</v>
      </c>
    </row>
    <row r="224" spans="1:1" x14ac:dyDescent="0.2">
      <c r="A224" s="4" t="s">
        <v>359</v>
      </c>
    </row>
    <row r="225" spans="1:1" x14ac:dyDescent="0.2">
      <c r="A225" s="4" t="s">
        <v>360</v>
      </c>
    </row>
    <row r="226" spans="1:1" x14ac:dyDescent="0.2">
      <c r="A226" s="4" t="s">
        <v>361</v>
      </c>
    </row>
    <row r="227" spans="1:1" x14ac:dyDescent="0.2">
      <c r="A227" s="4" t="s">
        <v>362</v>
      </c>
    </row>
    <row r="228" spans="1:1" x14ac:dyDescent="0.2">
      <c r="A228" s="4" t="s">
        <v>363</v>
      </c>
    </row>
    <row r="229" spans="1:1" x14ac:dyDescent="0.2">
      <c r="A229" s="4" t="s">
        <v>364</v>
      </c>
    </row>
    <row r="230" spans="1:1" x14ac:dyDescent="0.2">
      <c r="A230" s="4" t="s">
        <v>365</v>
      </c>
    </row>
    <row r="231" spans="1:1" x14ac:dyDescent="0.2">
      <c r="A231" s="4" t="s">
        <v>366</v>
      </c>
    </row>
    <row r="232" spans="1:1" x14ac:dyDescent="0.2">
      <c r="A232" s="4" t="s">
        <v>367</v>
      </c>
    </row>
    <row r="233" spans="1:1" x14ac:dyDescent="0.2">
      <c r="A233" s="4" t="s">
        <v>368</v>
      </c>
    </row>
    <row r="234" spans="1:1" x14ac:dyDescent="0.2">
      <c r="A234" s="4" t="s">
        <v>369</v>
      </c>
    </row>
    <row r="235" spans="1:1" x14ac:dyDescent="0.2">
      <c r="A235" s="4" t="s">
        <v>370</v>
      </c>
    </row>
    <row r="236" spans="1:1" x14ac:dyDescent="0.2">
      <c r="A236" s="4" t="s">
        <v>371</v>
      </c>
    </row>
    <row r="237" spans="1:1" x14ac:dyDescent="0.2">
      <c r="A237" s="4" t="s">
        <v>372</v>
      </c>
    </row>
    <row r="238" spans="1:1" x14ac:dyDescent="0.2">
      <c r="A238" s="4" t="s">
        <v>373</v>
      </c>
    </row>
    <row r="239" spans="1:1" x14ac:dyDescent="0.2">
      <c r="A239" s="4" t="s">
        <v>374</v>
      </c>
    </row>
    <row r="240" spans="1:1" x14ac:dyDescent="0.2">
      <c r="A240" s="4" t="s">
        <v>375</v>
      </c>
    </row>
    <row r="241" spans="1:1" x14ac:dyDescent="0.2">
      <c r="A241" s="4" t="s">
        <v>376</v>
      </c>
    </row>
    <row r="242" spans="1:1" x14ac:dyDescent="0.2">
      <c r="A242" s="4" t="s">
        <v>377</v>
      </c>
    </row>
    <row r="243" spans="1:1" x14ac:dyDescent="0.2">
      <c r="A243" s="4" t="s">
        <v>378</v>
      </c>
    </row>
    <row r="244" spans="1:1" x14ac:dyDescent="0.2">
      <c r="A244" s="4" t="s">
        <v>379</v>
      </c>
    </row>
    <row r="245" spans="1:1" x14ac:dyDescent="0.2">
      <c r="A245" s="4" t="s">
        <v>380</v>
      </c>
    </row>
    <row r="246" spans="1:1" x14ac:dyDescent="0.2">
      <c r="A246" s="4" t="s">
        <v>381</v>
      </c>
    </row>
    <row r="247" spans="1:1" x14ac:dyDescent="0.2">
      <c r="A247" s="4" t="s">
        <v>382</v>
      </c>
    </row>
    <row r="248" spans="1:1" x14ac:dyDescent="0.2">
      <c r="A248" s="4" t="s">
        <v>383</v>
      </c>
    </row>
    <row r="249" spans="1:1" x14ac:dyDescent="0.2">
      <c r="A249" s="4" t="s">
        <v>384</v>
      </c>
    </row>
    <row r="250" spans="1:1" x14ac:dyDescent="0.2">
      <c r="A250" s="4" t="s">
        <v>385</v>
      </c>
    </row>
    <row r="251" spans="1:1" x14ac:dyDescent="0.2">
      <c r="A251" s="4" t="s">
        <v>386</v>
      </c>
    </row>
    <row r="252" spans="1:1" x14ac:dyDescent="0.2">
      <c r="A252" s="4" t="s">
        <v>387</v>
      </c>
    </row>
    <row r="253" spans="1:1" x14ac:dyDescent="0.2">
      <c r="A253" s="4" t="s">
        <v>388</v>
      </c>
    </row>
    <row r="254" spans="1:1" x14ac:dyDescent="0.2">
      <c r="A254" s="4" t="s">
        <v>389</v>
      </c>
    </row>
    <row r="255" spans="1:1" x14ac:dyDescent="0.2">
      <c r="A255" s="4" t="s">
        <v>390</v>
      </c>
    </row>
    <row r="256" spans="1:1" x14ac:dyDescent="0.2">
      <c r="A256" s="4" t="s">
        <v>391</v>
      </c>
    </row>
    <row r="257" spans="1:1" x14ac:dyDescent="0.2">
      <c r="A257" s="4" t="s">
        <v>392</v>
      </c>
    </row>
    <row r="258" spans="1:1" x14ac:dyDescent="0.2">
      <c r="A258" s="4" t="s">
        <v>393</v>
      </c>
    </row>
    <row r="259" spans="1:1" x14ac:dyDescent="0.2">
      <c r="A259" s="4" t="s">
        <v>394</v>
      </c>
    </row>
    <row r="260" spans="1:1" x14ac:dyDescent="0.2">
      <c r="A260" s="4" t="s">
        <v>395</v>
      </c>
    </row>
    <row r="261" spans="1:1" x14ac:dyDescent="0.2">
      <c r="A261" s="4" t="s">
        <v>396</v>
      </c>
    </row>
    <row r="262" spans="1:1" x14ac:dyDescent="0.2">
      <c r="A262" s="4" t="s">
        <v>397</v>
      </c>
    </row>
    <row r="263" spans="1:1" x14ac:dyDescent="0.2">
      <c r="A263" s="4" t="s">
        <v>398</v>
      </c>
    </row>
    <row r="264" spans="1:1" x14ac:dyDescent="0.2">
      <c r="A264" s="4" t="s">
        <v>399</v>
      </c>
    </row>
    <row r="265" spans="1:1" x14ac:dyDescent="0.2">
      <c r="A265" s="4" t="s">
        <v>400</v>
      </c>
    </row>
    <row r="266" spans="1:1" x14ac:dyDescent="0.2">
      <c r="A266" s="4" t="s">
        <v>401</v>
      </c>
    </row>
    <row r="267" spans="1:1" x14ac:dyDescent="0.2">
      <c r="A267" s="4" t="s">
        <v>402</v>
      </c>
    </row>
    <row r="268" spans="1:1" x14ac:dyDescent="0.2">
      <c r="A268" s="4" t="s">
        <v>403</v>
      </c>
    </row>
    <row r="269" spans="1:1" x14ac:dyDescent="0.2">
      <c r="A269" s="4" t="s">
        <v>404</v>
      </c>
    </row>
    <row r="270" spans="1:1" x14ac:dyDescent="0.2">
      <c r="A270" s="4" t="s">
        <v>405</v>
      </c>
    </row>
    <row r="271" spans="1:1" x14ac:dyDescent="0.2">
      <c r="A271" s="4" t="s">
        <v>406</v>
      </c>
    </row>
    <row r="272" spans="1:1" x14ac:dyDescent="0.2">
      <c r="A272" s="4" t="s">
        <v>407</v>
      </c>
    </row>
    <row r="273" spans="1:1" x14ac:dyDescent="0.2">
      <c r="A273" s="4" t="s">
        <v>408</v>
      </c>
    </row>
    <row r="274" spans="1:1" x14ac:dyDescent="0.2">
      <c r="A274" s="4" t="s">
        <v>409</v>
      </c>
    </row>
    <row r="275" spans="1:1" x14ac:dyDescent="0.2">
      <c r="A275" s="4" t="s">
        <v>410</v>
      </c>
    </row>
    <row r="276" spans="1:1" x14ac:dyDescent="0.2">
      <c r="A276" s="4" t="s">
        <v>411</v>
      </c>
    </row>
    <row r="277" spans="1:1" x14ac:dyDescent="0.2">
      <c r="A277" s="4" t="s">
        <v>412</v>
      </c>
    </row>
    <row r="278" spans="1:1" x14ac:dyDescent="0.2">
      <c r="A278" s="4" t="s">
        <v>413</v>
      </c>
    </row>
    <row r="279" spans="1:1" x14ac:dyDescent="0.2">
      <c r="A279" s="4" t="s">
        <v>414</v>
      </c>
    </row>
    <row r="280" spans="1:1" x14ac:dyDescent="0.2">
      <c r="A280" s="4" t="s">
        <v>415</v>
      </c>
    </row>
    <row r="281" spans="1:1" x14ac:dyDescent="0.2">
      <c r="A281" s="4" t="s">
        <v>416</v>
      </c>
    </row>
    <row r="282" spans="1:1" x14ac:dyDescent="0.2">
      <c r="A282" s="4" t="s">
        <v>417</v>
      </c>
    </row>
    <row r="283" spans="1:1" x14ac:dyDescent="0.2">
      <c r="A283" s="4" t="s">
        <v>418</v>
      </c>
    </row>
    <row r="284" spans="1:1" x14ac:dyDescent="0.2">
      <c r="A284" s="4" t="s">
        <v>419</v>
      </c>
    </row>
    <row r="285" spans="1:1" x14ac:dyDescent="0.2">
      <c r="A285" s="4" t="s">
        <v>420</v>
      </c>
    </row>
    <row r="286" spans="1:1" x14ac:dyDescent="0.2">
      <c r="A286" s="4" t="s">
        <v>421</v>
      </c>
    </row>
    <row r="287" spans="1:1" x14ac:dyDescent="0.2">
      <c r="A287" s="4" t="s">
        <v>422</v>
      </c>
    </row>
    <row r="288" spans="1:1" x14ac:dyDescent="0.2">
      <c r="A288" s="4" t="s">
        <v>423</v>
      </c>
    </row>
    <row r="289" spans="1:1" x14ac:dyDescent="0.2">
      <c r="A289" s="4" t="s">
        <v>424</v>
      </c>
    </row>
    <row r="290" spans="1:1" x14ac:dyDescent="0.2">
      <c r="A290" s="4" t="s">
        <v>425</v>
      </c>
    </row>
    <row r="291" spans="1:1" x14ac:dyDescent="0.2">
      <c r="A291" s="4" t="s">
        <v>426</v>
      </c>
    </row>
    <row r="292" spans="1:1" x14ac:dyDescent="0.2">
      <c r="A292" s="4" t="s">
        <v>427</v>
      </c>
    </row>
    <row r="293" spans="1:1" x14ac:dyDescent="0.2">
      <c r="A293" s="4" t="s">
        <v>428</v>
      </c>
    </row>
    <row r="294" spans="1:1" x14ac:dyDescent="0.2">
      <c r="A294" s="4" t="s">
        <v>429</v>
      </c>
    </row>
    <row r="295" spans="1:1" x14ac:dyDescent="0.2">
      <c r="A295" s="4" t="s">
        <v>430</v>
      </c>
    </row>
    <row r="296" spans="1:1" x14ac:dyDescent="0.2">
      <c r="A296" s="4" t="s">
        <v>431</v>
      </c>
    </row>
    <row r="297" spans="1:1" x14ac:dyDescent="0.2">
      <c r="A297" s="4" t="s">
        <v>432</v>
      </c>
    </row>
    <row r="298" spans="1:1" x14ac:dyDescent="0.2">
      <c r="A298" s="4" t="s">
        <v>433</v>
      </c>
    </row>
    <row r="299" spans="1:1" x14ac:dyDescent="0.2">
      <c r="A299" s="4" t="s">
        <v>434</v>
      </c>
    </row>
    <row r="300" spans="1:1" x14ac:dyDescent="0.2">
      <c r="A300" s="4" t="s">
        <v>435</v>
      </c>
    </row>
    <row r="301" spans="1:1" x14ac:dyDescent="0.2">
      <c r="A301" s="4" t="s">
        <v>436</v>
      </c>
    </row>
    <row r="302" spans="1:1" x14ac:dyDescent="0.2">
      <c r="A302" s="4" t="s">
        <v>437</v>
      </c>
    </row>
    <row r="303" spans="1:1" x14ac:dyDescent="0.2">
      <c r="A303" s="4" t="s">
        <v>438</v>
      </c>
    </row>
    <row r="304" spans="1:1" x14ac:dyDescent="0.2">
      <c r="A304" s="4" t="s">
        <v>439</v>
      </c>
    </row>
    <row r="305" spans="1:1" x14ac:dyDescent="0.2">
      <c r="A305" s="4" t="s">
        <v>440</v>
      </c>
    </row>
    <row r="306" spans="1:1" x14ac:dyDescent="0.2">
      <c r="A306" s="4" t="s">
        <v>441</v>
      </c>
    </row>
    <row r="307" spans="1:1" x14ac:dyDescent="0.2">
      <c r="A307" s="4" t="s">
        <v>442</v>
      </c>
    </row>
    <row r="308" spans="1:1" x14ac:dyDescent="0.2">
      <c r="A308" s="4" t="s">
        <v>443</v>
      </c>
    </row>
    <row r="309" spans="1:1" x14ac:dyDescent="0.2">
      <c r="A309" s="4" t="s">
        <v>444</v>
      </c>
    </row>
    <row r="310" spans="1:1" x14ac:dyDescent="0.2">
      <c r="A310" s="4" t="s">
        <v>445</v>
      </c>
    </row>
    <row r="311" spans="1:1" x14ac:dyDescent="0.2">
      <c r="A311" s="4" t="s">
        <v>446</v>
      </c>
    </row>
    <row r="312" spans="1:1" x14ac:dyDescent="0.2">
      <c r="A312" s="4" t="s">
        <v>447</v>
      </c>
    </row>
    <row r="313" spans="1:1" x14ac:dyDescent="0.2">
      <c r="A313" s="4" t="s">
        <v>448</v>
      </c>
    </row>
    <row r="314" spans="1:1" x14ac:dyDescent="0.2">
      <c r="A314" s="4" t="s">
        <v>449</v>
      </c>
    </row>
    <row r="315" spans="1:1" x14ac:dyDescent="0.2">
      <c r="A315" s="4" t="s">
        <v>450</v>
      </c>
    </row>
    <row r="316" spans="1:1" x14ac:dyDescent="0.2">
      <c r="A316" s="4" t="s">
        <v>451</v>
      </c>
    </row>
    <row r="317" spans="1:1" x14ac:dyDescent="0.2">
      <c r="A317" s="4" t="s">
        <v>452</v>
      </c>
    </row>
    <row r="318" spans="1:1" x14ac:dyDescent="0.2">
      <c r="A318" s="4" t="s">
        <v>453</v>
      </c>
    </row>
    <row r="319" spans="1:1" x14ac:dyDescent="0.2">
      <c r="A319" s="4" t="s">
        <v>454</v>
      </c>
    </row>
    <row r="320" spans="1:1" x14ac:dyDescent="0.2">
      <c r="A320" s="4" t="s">
        <v>455</v>
      </c>
    </row>
    <row r="321" spans="1:1" x14ac:dyDescent="0.2">
      <c r="A321" s="4" t="s">
        <v>456</v>
      </c>
    </row>
    <row r="322" spans="1:1" x14ac:dyDescent="0.2">
      <c r="A322" s="4" t="s">
        <v>457</v>
      </c>
    </row>
    <row r="323" spans="1:1" x14ac:dyDescent="0.2">
      <c r="A323" s="4" t="s">
        <v>458</v>
      </c>
    </row>
    <row r="324" spans="1:1" x14ac:dyDescent="0.2">
      <c r="A324" s="4" t="s">
        <v>459</v>
      </c>
    </row>
    <row r="325" spans="1:1" x14ac:dyDescent="0.2">
      <c r="A325" s="4" t="s">
        <v>460</v>
      </c>
    </row>
    <row r="326" spans="1:1" x14ac:dyDescent="0.2">
      <c r="A326" s="4" t="s">
        <v>461</v>
      </c>
    </row>
    <row r="327" spans="1:1" x14ac:dyDescent="0.2">
      <c r="A327" s="4" t="s">
        <v>462</v>
      </c>
    </row>
    <row r="328" spans="1:1" x14ac:dyDescent="0.2">
      <c r="A328" s="4" t="s">
        <v>463</v>
      </c>
    </row>
    <row r="329" spans="1:1" x14ac:dyDescent="0.2">
      <c r="A329" s="4" t="s">
        <v>464</v>
      </c>
    </row>
    <row r="330" spans="1:1" x14ac:dyDescent="0.2">
      <c r="A330" s="4" t="s">
        <v>465</v>
      </c>
    </row>
    <row r="331" spans="1:1" x14ac:dyDescent="0.2">
      <c r="A331" s="4" t="s">
        <v>466</v>
      </c>
    </row>
    <row r="332" spans="1:1" x14ac:dyDescent="0.2">
      <c r="A332" s="4" t="s">
        <v>467</v>
      </c>
    </row>
    <row r="333" spans="1:1" x14ac:dyDescent="0.2">
      <c r="A333" s="4" t="s">
        <v>468</v>
      </c>
    </row>
    <row r="334" spans="1:1" x14ac:dyDescent="0.2">
      <c r="A334" s="4" t="s">
        <v>469</v>
      </c>
    </row>
    <row r="335" spans="1:1" x14ac:dyDescent="0.2">
      <c r="A335" s="4" t="s">
        <v>470</v>
      </c>
    </row>
    <row r="336" spans="1:1" x14ac:dyDescent="0.2">
      <c r="A336" s="4" t="s">
        <v>471</v>
      </c>
    </row>
    <row r="337" spans="1:1" x14ac:dyDescent="0.2">
      <c r="A337" s="4" t="s">
        <v>472</v>
      </c>
    </row>
    <row r="338" spans="1:1" x14ac:dyDescent="0.2">
      <c r="A338" s="4" t="s">
        <v>473</v>
      </c>
    </row>
    <row r="339" spans="1:1" x14ac:dyDescent="0.2">
      <c r="A339" s="4" t="s">
        <v>474</v>
      </c>
    </row>
    <row r="340" spans="1:1" x14ac:dyDescent="0.2">
      <c r="A340" s="4" t="s">
        <v>475</v>
      </c>
    </row>
    <row r="341" spans="1:1" x14ac:dyDescent="0.2">
      <c r="A341" s="4" t="s">
        <v>476</v>
      </c>
    </row>
    <row r="342" spans="1:1" x14ac:dyDescent="0.2">
      <c r="A342" s="4" t="s">
        <v>477</v>
      </c>
    </row>
    <row r="343" spans="1:1" x14ac:dyDescent="0.2">
      <c r="A343" s="4" t="s">
        <v>478</v>
      </c>
    </row>
    <row r="344" spans="1:1" x14ac:dyDescent="0.2">
      <c r="A344" s="4" t="s">
        <v>479</v>
      </c>
    </row>
    <row r="345" spans="1:1" x14ac:dyDescent="0.2">
      <c r="A345" s="4" t="s">
        <v>480</v>
      </c>
    </row>
    <row r="346" spans="1:1" x14ac:dyDescent="0.2">
      <c r="A346" s="4" t="s">
        <v>481</v>
      </c>
    </row>
    <row r="347" spans="1:1" x14ac:dyDescent="0.2">
      <c r="A347" s="4" t="s">
        <v>482</v>
      </c>
    </row>
    <row r="348" spans="1:1" x14ac:dyDescent="0.2">
      <c r="A348" s="4" t="s">
        <v>483</v>
      </c>
    </row>
    <row r="349" spans="1:1" x14ac:dyDescent="0.2">
      <c r="A349" s="4" t="s">
        <v>484</v>
      </c>
    </row>
    <row r="350" spans="1:1" x14ac:dyDescent="0.2">
      <c r="A350" s="4" t="s">
        <v>485</v>
      </c>
    </row>
    <row r="351" spans="1:1" x14ac:dyDescent="0.2">
      <c r="A351" s="4" t="s">
        <v>486</v>
      </c>
    </row>
    <row r="352" spans="1:1" x14ac:dyDescent="0.2">
      <c r="A352" s="4" t="s">
        <v>487</v>
      </c>
    </row>
    <row r="353" spans="1:1" x14ac:dyDescent="0.2">
      <c r="A353" s="4" t="s">
        <v>488</v>
      </c>
    </row>
    <row r="354" spans="1:1" x14ac:dyDescent="0.2">
      <c r="A354" s="4" t="s">
        <v>489</v>
      </c>
    </row>
    <row r="355" spans="1:1" x14ac:dyDescent="0.2">
      <c r="A355" s="4" t="s">
        <v>490</v>
      </c>
    </row>
    <row r="356" spans="1:1" x14ac:dyDescent="0.2">
      <c r="A356" s="4" t="s">
        <v>491</v>
      </c>
    </row>
    <row r="357" spans="1:1" x14ac:dyDescent="0.2">
      <c r="A357" s="4" t="s">
        <v>492</v>
      </c>
    </row>
    <row r="358" spans="1:1" x14ac:dyDescent="0.2">
      <c r="A358" s="4" t="s">
        <v>493</v>
      </c>
    </row>
    <row r="359" spans="1:1" x14ac:dyDescent="0.2">
      <c r="A359" s="4" t="s">
        <v>494</v>
      </c>
    </row>
    <row r="360" spans="1:1" x14ac:dyDescent="0.2">
      <c r="A360" s="4" t="s">
        <v>495</v>
      </c>
    </row>
    <row r="361" spans="1:1" x14ac:dyDescent="0.2">
      <c r="A361" s="4" t="s">
        <v>496</v>
      </c>
    </row>
    <row r="362" spans="1:1" x14ac:dyDescent="0.2">
      <c r="A362" s="4" t="s">
        <v>497</v>
      </c>
    </row>
    <row r="363" spans="1:1" x14ac:dyDescent="0.2">
      <c r="A363" s="4" t="s">
        <v>498</v>
      </c>
    </row>
    <row r="364" spans="1:1" x14ac:dyDescent="0.2">
      <c r="A364" s="4" t="s">
        <v>499</v>
      </c>
    </row>
    <row r="365" spans="1:1" x14ac:dyDescent="0.2">
      <c r="A365" s="4" t="s">
        <v>500</v>
      </c>
    </row>
    <row r="366" spans="1:1" x14ac:dyDescent="0.2">
      <c r="A366" s="4" t="s">
        <v>501</v>
      </c>
    </row>
    <row r="367" spans="1:1" x14ac:dyDescent="0.2">
      <c r="A367" s="4" t="s">
        <v>502</v>
      </c>
    </row>
    <row r="368" spans="1:1" x14ac:dyDescent="0.2">
      <c r="A368" s="4" t="s">
        <v>503</v>
      </c>
    </row>
    <row r="369" spans="1:1" x14ac:dyDescent="0.2">
      <c r="A369" s="4" t="s">
        <v>504</v>
      </c>
    </row>
    <row r="370" spans="1:1" x14ac:dyDescent="0.2">
      <c r="A370" s="4" t="s">
        <v>505</v>
      </c>
    </row>
    <row r="371" spans="1:1" x14ac:dyDescent="0.2">
      <c r="A371" s="4" t="s">
        <v>506</v>
      </c>
    </row>
    <row r="372" spans="1:1" x14ac:dyDescent="0.2">
      <c r="A372" s="4" t="s">
        <v>507</v>
      </c>
    </row>
    <row r="373" spans="1:1" x14ac:dyDescent="0.2">
      <c r="A373" s="4" t="s">
        <v>508</v>
      </c>
    </row>
    <row r="374" spans="1:1" x14ac:dyDescent="0.2">
      <c r="A374" s="4" t="s">
        <v>509</v>
      </c>
    </row>
    <row r="375" spans="1:1" x14ac:dyDescent="0.2">
      <c r="A375" s="4" t="s">
        <v>510</v>
      </c>
    </row>
    <row r="376" spans="1:1" x14ac:dyDescent="0.2">
      <c r="A376" s="4" t="s">
        <v>511</v>
      </c>
    </row>
    <row r="377" spans="1:1" x14ac:dyDescent="0.2">
      <c r="A377" s="4" t="s">
        <v>512</v>
      </c>
    </row>
    <row r="378" spans="1:1" x14ac:dyDescent="0.2">
      <c r="A378" s="4" t="s">
        <v>513</v>
      </c>
    </row>
    <row r="379" spans="1:1" x14ac:dyDescent="0.2">
      <c r="A379" s="4" t="s">
        <v>514</v>
      </c>
    </row>
    <row r="380" spans="1:1" x14ac:dyDescent="0.2">
      <c r="A380" s="4" t="s">
        <v>515</v>
      </c>
    </row>
    <row r="381" spans="1:1" x14ac:dyDescent="0.2">
      <c r="A381" s="4" t="s">
        <v>516</v>
      </c>
    </row>
    <row r="382" spans="1:1" x14ac:dyDescent="0.2">
      <c r="A382" s="4" t="s">
        <v>517</v>
      </c>
    </row>
    <row r="383" spans="1:1" x14ac:dyDescent="0.2">
      <c r="A383" s="4" t="s">
        <v>518</v>
      </c>
    </row>
    <row r="384" spans="1:1" x14ac:dyDescent="0.2">
      <c r="A384" s="4" t="s">
        <v>519</v>
      </c>
    </row>
    <row r="385" spans="1:1" x14ac:dyDescent="0.2">
      <c r="A385" s="4" t="s">
        <v>520</v>
      </c>
    </row>
    <row r="386" spans="1:1" x14ac:dyDescent="0.2">
      <c r="A386" s="4" t="s">
        <v>521</v>
      </c>
    </row>
    <row r="387" spans="1:1" x14ac:dyDescent="0.2">
      <c r="A387" s="4" t="s">
        <v>522</v>
      </c>
    </row>
    <row r="388" spans="1:1" x14ac:dyDescent="0.2">
      <c r="A388" s="4" t="s">
        <v>523</v>
      </c>
    </row>
    <row r="389" spans="1:1" x14ac:dyDescent="0.2">
      <c r="A389" s="4" t="s">
        <v>524</v>
      </c>
    </row>
    <row r="390" spans="1:1" x14ac:dyDescent="0.2">
      <c r="A390" s="4" t="s">
        <v>525</v>
      </c>
    </row>
    <row r="391" spans="1:1" x14ac:dyDescent="0.2">
      <c r="A391" s="4" t="s">
        <v>526</v>
      </c>
    </row>
    <row r="392" spans="1:1" x14ac:dyDescent="0.2">
      <c r="A392" s="4" t="s">
        <v>527</v>
      </c>
    </row>
    <row r="393" spans="1:1" x14ac:dyDescent="0.2">
      <c r="A393" s="4" t="s">
        <v>528</v>
      </c>
    </row>
    <row r="394" spans="1:1" x14ac:dyDescent="0.2">
      <c r="A394" s="4" t="s">
        <v>529</v>
      </c>
    </row>
    <row r="395" spans="1:1" x14ac:dyDescent="0.2">
      <c r="A395" s="4" t="s">
        <v>530</v>
      </c>
    </row>
    <row r="396" spans="1:1" x14ac:dyDescent="0.2">
      <c r="A396" s="4" t="s">
        <v>531</v>
      </c>
    </row>
    <row r="397" spans="1:1" x14ac:dyDescent="0.2">
      <c r="A397" s="4" t="s">
        <v>532</v>
      </c>
    </row>
    <row r="398" spans="1:1" x14ac:dyDescent="0.2">
      <c r="A398" s="4" t="s">
        <v>533</v>
      </c>
    </row>
    <row r="399" spans="1:1" x14ac:dyDescent="0.2">
      <c r="A399" s="4" t="s">
        <v>534</v>
      </c>
    </row>
    <row r="400" spans="1:1" x14ac:dyDescent="0.2">
      <c r="A400" s="4" t="s">
        <v>535</v>
      </c>
    </row>
    <row r="401" spans="1:1" x14ac:dyDescent="0.2">
      <c r="A401" s="4" t="s">
        <v>536</v>
      </c>
    </row>
    <row r="402" spans="1:1" x14ac:dyDescent="0.2">
      <c r="A402" s="4" t="s">
        <v>537</v>
      </c>
    </row>
    <row r="403" spans="1:1" x14ac:dyDescent="0.2">
      <c r="A403" s="4" t="s">
        <v>538</v>
      </c>
    </row>
    <row r="404" spans="1:1" x14ac:dyDescent="0.2">
      <c r="A404" s="4" t="s">
        <v>539</v>
      </c>
    </row>
    <row r="405" spans="1:1" x14ac:dyDescent="0.2">
      <c r="A405" s="4" t="s">
        <v>540</v>
      </c>
    </row>
    <row r="406" spans="1:1" x14ac:dyDescent="0.2">
      <c r="A406" s="4" t="s">
        <v>541</v>
      </c>
    </row>
    <row r="407" spans="1:1" x14ac:dyDescent="0.2">
      <c r="A407" s="4" t="s">
        <v>542</v>
      </c>
    </row>
    <row r="408" spans="1:1" x14ac:dyDescent="0.2">
      <c r="A408" s="4" t="s">
        <v>543</v>
      </c>
    </row>
    <row r="409" spans="1:1" x14ac:dyDescent="0.2">
      <c r="A409" s="4" t="s">
        <v>544</v>
      </c>
    </row>
    <row r="410" spans="1:1" x14ac:dyDescent="0.2">
      <c r="A410" s="4" t="s">
        <v>545</v>
      </c>
    </row>
    <row r="411" spans="1:1" x14ac:dyDescent="0.2">
      <c r="A411" s="4" t="s">
        <v>546</v>
      </c>
    </row>
    <row r="412" spans="1:1" x14ac:dyDescent="0.2">
      <c r="A412" s="4" t="s">
        <v>547</v>
      </c>
    </row>
    <row r="413" spans="1:1" x14ac:dyDescent="0.2">
      <c r="A413" s="4" t="s">
        <v>548</v>
      </c>
    </row>
    <row r="414" spans="1:1" x14ac:dyDescent="0.2">
      <c r="A414" s="4" t="s">
        <v>549</v>
      </c>
    </row>
    <row r="415" spans="1:1" x14ac:dyDescent="0.2">
      <c r="A415" s="4" t="s">
        <v>550</v>
      </c>
    </row>
    <row r="416" spans="1:1" x14ac:dyDescent="0.2">
      <c r="A416" s="4" t="s">
        <v>551</v>
      </c>
    </row>
    <row r="417" spans="1:1" x14ac:dyDescent="0.2">
      <c r="A417" s="4" t="s">
        <v>552</v>
      </c>
    </row>
    <row r="418" spans="1:1" x14ac:dyDescent="0.2">
      <c r="A418" s="4" t="s">
        <v>553</v>
      </c>
    </row>
    <row r="419" spans="1:1" x14ac:dyDescent="0.2">
      <c r="A419" s="4" t="s">
        <v>554</v>
      </c>
    </row>
    <row r="420" spans="1:1" x14ac:dyDescent="0.2">
      <c r="A420" s="4" t="s">
        <v>555</v>
      </c>
    </row>
    <row r="421" spans="1:1" x14ac:dyDescent="0.2">
      <c r="A421" s="4" t="s">
        <v>556</v>
      </c>
    </row>
    <row r="422" spans="1:1" x14ac:dyDescent="0.2">
      <c r="A422" s="4" t="s">
        <v>557</v>
      </c>
    </row>
    <row r="423" spans="1:1" x14ac:dyDescent="0.2">
      <c r="A423" s="4" t="s">
        <v>558</v>
      </c>
    </row>
    <row r="424" spans="1:1" x14ac:dyDescent="0.2">
      <c r="A424" s="4" t="s">
        <v>559</v>
      </c>
    </row>
    <row r="425" spans="1:1" x14ac:dyDescent="0.2">
      <c r="A425" s="4" t="s">
        <v>560</v>
      </c>
    </row>
    <row r="426" spans="1:1" x14ac:dyDescent="0.2">
      <c r="A426" s="4" t="s">
        <v>561</v>
      </c>
    </row>
    <row r="427" spans="1:1" x14ac:dyDescent="0.2">
      <c r="A427" s="4" t="s">
        <v>562</v>
      </c>
    </row>
    <row r="428" spans="1:1" x14ac:dyDescent="0.2">
      <c r="A428" s="4" t="s">
        <v>563</v>
      </c>
    </row>
    <row r="429" spans="1:1" x14ac:dyDescent="0.2">
      <c r="A429" s="4" t="s">
        <v>564</v>
      </c>
    </row>
    <row r="430" spans="1:1" x14ac:dyDescent="0.2">
      <c r="A430" s="4" t="s">
        <v>565</v>
      </c>
    </row>
    <row r="431" spans="1:1" x14ac:dyDescent="0.2">
      <c r="A431" s="4" t="s">
        <v>566</v>
      </c>
    </row>
    <row r="432" spans="1:1" x14ac:dyDescent="0.2">
      <c r="A432" s="4" t="s">
        <v>567</v>
      </c>
    </row>
    <row r="433" spans="1:1" x14ac:dyDescent="0.2">
      <c r="A433" s="4" t="s">
        <v>568</v>
      </c>
    </row>
    <row r="434" spans="1:1" x14ac:dyDescent="0.2">
      <c r="A434" s="4" t="s">
        <v>569</v>
      </c>
    </row>
    <row r="435" spans="1:1" x14ac:dyDescent="0.2">
      <c r="A435" s="4" t="s">
        <v>570</v>
      </c>
    </row>
    <row r="436" spans="1:1" x14ac:dyDescent="0.2">
      <c r="A436" s="4" t="s">
        <v>571</v>
      </c>
    </row>
    <row r="437" spans="1:1" x14ac:dyDescent="0.2">
      <c r="A437" s="4" t="s">
        <v>572</v>
      </c>
    </row>
    <row r="438" spans="1:1" x14ac:dyDescent="0.2">
      <c r="A438" s="4" t="s">
        <v>573</v>
      </c>
    </row>
    <row r="439" spans="1:1" x14ac:dyDescent="0.2">
      <c r="A439" s="4" t="s">
        <v>574</v>
      </c>
    </row>
    <row r="440" spans="1:1" x14ac:dyDescent="0.2">
      <c r="A440" s="4" t="s">
        <v>575</v>
      </c>
    </row>
    <row r="441" spans="1:1" x14ac:dyDescent="0.2">
      <c r="A441" s="4" t="s">
        <v>576</v>
      </c>
    </row>
    <row r="442" spans="1:1" x14ac:dyDescent="0.2">
      <c r="A442" s="4" t="s">
        <v>577</v>
      </c>
    </row>
    <row r="443" spans="1:1" x14ac:dyDescent="0.2">
      <c r="A443" s="4" t="s">
        <v>578</v>
      </c>
    </row>
    <row r="444" spans="1:1" x14ac:dyDescent="0.2">
      <c r="A444" s="4" t="s">
        <v>579</v>
      </c>
    </row>
    <row r="445" spans="1:1" x14ac:dyDescent="0.2">
      <c r="A445" s="4" t="s">
        <v>580</v>
      </c>
    </row>
    <row r="446" spans="1:1" x14ac:dyDescent="0.2">
      <c r="A446" s="4" t="s">
        <v>581</v>
      </c>
    </row>
    <row r="447" spans="1:1" x14ac:dyDescent="0.2">
      <c r="A447" s="4" t="s">
        <v>582</v>
      </c>
    </row>
    <row r="448" spans="1:1" x14ac:dyDescent="0.2">
      <c r="A448" s="4" t="s">
        <v>583</v>
      </c>
    </row>
    <row r="449" spans="1:1" x14ac:dyDescent="0.2">
      <c r="A449" s="4" t="s">
        <v>584</v>
      </c>
    </row>
    <row r="450" spans="1:1" x14ac:dyDescent="0.2">
      <c r="A450" s="4" t="s">
        <v>585</v>
      </c>
    </row>
    <row r="451" spans="1:1" x14ac:dyDescent="0.2">
      <c r="A451" s="4" t="s">
        <v>586</v>
      </c>
    </row>
    <row r="452" spans="1:1" x14ac:dyDescent="0.2">
      <c r="A452" s="4" t="s">
        <v>587</v>
      </c>
    </row>
    <row r="453" spans="1:1" x14ac:dyDescent="0.2">
      <c r="A453" s="4" t="s">
        <v>588</v>
      </c>
    </row>
    <row r="454" spans="1:1" x14ac:dyDescent="0.2">
      <c r="A454" s="4" t="s">
        <v>589</v>
      </c>
    </row>
    <row r="455" spans="1:1" x14ac:dyDescent="0.2">
      <c r="A455" s="4" t="s">
        <v>590</v>
      </c>
    </row>
    <row r="456" spans="1:1" x14ac:dyDescent="0.2">
      <c r="A456" s="4" t="s">
        <v>591</v>
      </c>
    </row>
    <row r="457" spans="1:1" x14ac:dyDescent="0.2">
      <c r="A457" s="4" t="s">
        <v>592</v>
      </c>
    </row>
    <row r="458" spans="1:1" x14ac:dyDescent="0.2">
      <c r="A458" s="4" t="s">
        <v>593</v>
      </c>
    </row>
    <row r="459" spans="1:1" x14ac:dyDescent="0.2">
      <c r="A459" s="4" t="s">
        <v>594</v>
      </c>
    </row>
    <row r="460" spans="1:1" x14ac:dyDescent="0.2">
      <c r="A460" s="4" t="s">
        <v>595</v>
      </c>
    </row>
    <row r="461" spans="1:1" x14ac:dyDescent="0.2">
      <c r="A461" s="4" t="s">
        <v>596</v>
      </c>
    </row>
    <row r="462" spans="1:1" x14ac:dyDescent="0.2">
      <c r="A462" s="4" t="s">
        <v>597</v>
      </c>
    </row>
    <row r="463" spans="1:1" x14ac:dyDescent="0.2">
      <c r="A463" s="4" t="s">
        <v>598</v>
      </c>
    </row>
    <row r="464" spans="1:1" x14ac:dyDescent="0.2">
      <c r="A464" s="4" t="s">
        <v>599</v>
      </c>
    </row>
    <row r="465" spans="1:1" x14ac:dyDescent="0.2">
      <c r="A465" s="4" t="s">
        <v>600</v>
      </c>
    </row>
    <row r="466" spans="1:1" x14ac:dyDescent="0.2">
      <c r="A466" s="4" t="s">
        <v>601</v>
      </c>
    </row>
    <row r="467" spans="1:1" x14ac:dyDescent="0.2">
      <c r="A467" s="4" t="s">
        <v>602</v>
      </c>
    </row>
    <row r="468" spans="1:1" x14ac:dyDescent="0.2">
      <c r="A468" s="4" t="s">
        <v>603</v>
      </c>
    </row>
    <row r="469" spans="1:1" x14ac:dyDescent="0.2">
      <c r="A469" s="4" t="s">
        <v>604</v>
      </c>
    </row>
    <row r="470" spans="1:1" x14ac:dyDescent="0.2">
      <c r="A470" s="4" t="s">
        <v>605</v>
      </c>
    </row>
    <row r="471" spans="1:1" x14ac:dyDescent="0.2">
      <c r="A471" s="4" t="s">
        <v>606</v>
      </c>
    </row>
    <row r="472" spans="1:1" x14ac:dyDescent="0.2">
      <c r="A472" s="4" t="s">
        <v>607</v>
      </c>
    </row>
    <row r="473" spans="1:1" x14ac:dyDescent="0.2">
      <c r="A473" s="4" t="s">
        <v>608</v>
      </c>
    </row>
    <row r="474" spans="1:1" x14ac:dyDescent="0.2">
      <c r="A474" s="4" t="s">
        <v>609</v>
      </c>
    </row>
    <row r="475" spans="1:1" x14ac:dyDescent="0.2">
      <c r="A475" s="4" t="s">
        <v>610</v>
      </c>
    </row>
    <row r="476" spans="1:1" x14ac:dyDescent="0.2">
      <c r="A476" s="4" t="s">
        <v>611</v>
      </c>
    </row>
    <row r="477" spans="1:1" x14ac:dyDescent="0.2">
      <c r="A477" s="4" t="s">
        <v>612</v>
      </c>
    </row>
    <row r="478" spans="1:1" x14ac:dyDescent="0.2">
      <c r="A478" s="4" t="s">
        <v>613</v>
      </c>
    </row>
    <row r="479" spans="1:1" x14ac:dyDescent="0.2">
      <c r="A479" s="4" t="s">
        <v>614</v>
      </c>
    </row>
    <row r="480" spans="1:1" x14ac:dyDescent="0.2">
      <c r="A480" s="4" t="s">
        <v>615</v>
      </c>
    </row>
    <row r="481" spans="1:1" x14ac:dyDescent="0.2">
      <c r="A481" s="4" t="s">
        <v>616</v>
      </c>
    </row>
    <row r="482" spans="1:1" x14ac:dyDescent="0.2">
      <c r="A482" s="4" t="s">
        <v>617</v>
      </c>
    </row>
    <row r="483" spans="1:1" x14ac:dyDescent="0.2">
      <c r="A483" s="4" t="s">
        <v>618</v>
      </c>
    </row>
    <row r="484" spans="1:1" x14ac:dyDescent="0.2">
      <c r="A484" s="4" t="s">
        <v>619</v>
      </c>
    </row>
    <row r="485" spans="1:1" x14ac:dyDescent="0.2">
      <c r="A485" s="4" t="s">
        <v>620</v>
      </c>
    </row>
    <row r="486" spans="1:1" x14ac:dyDescent="0.2">
      <c r="A486" s="4" t="s">
        <v>621</v>
      </c>
    </row>
    <row r="487" spans="1:1" x14ac:dyDescent="0.2">
      <c r="A487" s="4" t="s">
        <v>622</v>
      </c>
    </row>
    <row r="488" spans="1:1" x14ac:dyDescent="0.2">
      <c r="A488" s="4" t="s">
        <v>623</v>
      </c>
    </row>
    <row r="489" spans="1:1" x14ac:dyDescent="0.2">
      <c r="A489" s="4" t="s">
        <v>624</v>
      </c>
    </row>
    <row r="490" spans="1:1" x14ac:dyDescent="0.2">
      <c r="A490" s="4" t="s">
        <v>625</v>
      </c>
    </row>
    <row r="491" spans="1:1" x14ac:dyDescent="0.2">
      <c r="A491" s="4" t="s">
        <v>626</v>
      </c>
    </row>
    <row r="492" spans="1:1" x14ac:dyDescent="0.2">
      <c r="A492" s="4" t="s">
        <v>627</v>
      </c>
    </row>
    <row r="493" spans="1:1" x14ac:dyDescent="0.2">
      <c r="A493" s="4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B3FC-1466-4F70-91D8-8E143AB191DF}">
  <dimension ref="A1:S51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2" sqref="K2"/>
    </sheetView>
  </sheetViews>
  <sheetFormatPr defaultRowHeight="10.199999999999999" x14ac:dyDescent="0.2"/>
  <cols>
    <col min="4" max="4" width="9.140625" style="1"/>
    <col min="5" max="5" width="12.140625" bestFit="1" customWidth="1"/>
    <col min="6" max="7" width="9.42578125" style="2" bestFit="1" customWidth="1"/>
  </cols>
  <sheetData>
    <row r="1" spans="1:19" x14ac:dyDescent="0.2">
      <c r="A1" t="s">
        <v>109</v>
      </c>
      <c r="C1" t="s">
        <v>0</v>
      </c>
      <c r="D1" s="1" t="s">
        <v>1</v>
      </c>
      <c r="E1" t="s">
        <v>106</v>
      </c>
      <c r="F1" s="2" t="s">
        <v>107</v>
      </c>
      <c r="G1" s="2" t="s">
        <v>108</v>
      </c>
      <c r="I1" s="5"/>
      <c r="K1" t="s">
        <v>135</v>
      </c>
      <c r="S1" t="s">
        <v>109</v>
      </c>
    </row>
    <row r="2" spans="1:19" x14ac:dyDescent="0.2">
      <c r="A2">
        <v>1</v>
      </c>
      <c r="C2" t="s">
        <v>2</v>
      </c>
      <c r="D2" s="1">
        <v>5114504</v>
      </c>
      <c r="E2" t="s">
        <v>134</v>
      </c>
      <c r="F2" s="2">
        <v>45359</v>
      </c>
      <c r="I2" s="5">
        <f>LEN(D2)</f>
        <v>7</v>
      </c>
      <c r="J2" t="str">
        <f>C2&amp;D2&amp;"|"&amp;F2&amp;"|"&amp;G2</f>
        <v>GESU5114504|45359|</v>
      </c>
      <c r="K2" t="str">
        <f t="shared" ref="K2:K11" si="0">C2&amp;D2&amp;"|"&amp;E2&amp;"|"&amp;"High Cube"&amp;"|"&amp;"ZONA"</f>
        <v>GESU5114504|40 FT|High Cube|ZONA</v>
      </c>
    </row>
    <row r="3" spans="1:19" x14ac:dyDescent="0.2">
      <c r="A3">
        <v>2</v>
      </c>
      <c r="C3" t="s">
        <v>3</v>
      </c>
      <c r="D3" s="1">
        <v>4555445</v>
      </c>
      <c r="E3" t="s">
        <v>134</v>
      </c>
      <c r="F3" s="2">
        <v>45457</v>
      </c>
      <c r="G3" s="2">
        <v>46154</v>
      </c>
      <c r="I3" s="5">
        <f t="shared" ref="I3:I66" si="1">LEN(D3)</f>
        <v>7</v>
      </c>
      <c r="J3" t="str">
        <f t="shared" ref="J3:J66" si="2">C3&amp;D3&amp;"|"&amp;F3&amp;"|"&amp;G3</f>
        <v>MSKU4555445|45457|46154</v>
      </c>
      <c r="K3" t="str">
        <f t="shared" si="0"/>
        <v>MSKU4555445|40 FT|High Cube|ZONA</v>
      </c>
    </row>
    <row r="4" spans="1:19" x14ac:dyDescent="0.2">
      <c r="A4">
        <v>3</v>
      </c>
      <c r="C4" t="s">
        <v>2</v>
      </c>
      <c r="D4" s="1">
        <v>5570090</v>
      </c>
      <c r="E4" t="s">
        <v>134</v>
      </c>
      <c r="F4" s="2">
        <v>45533</v>
      </c>
      <c r="I4" s="5">
        <f t="shared" si="1"/>
        <v>7</v>
      </c>
      <c r="J4" t="str">
        <f t="shared" si="2"/>
        <v>GESU5570090|45533|</v>
      </c>
      <c r="K4" t="str">
        <f t="shared" si="0"/>
        <v>GESU5570090|40 FT|High Cube|ZONA</v>
      </c>
    </row>
    <row r="5" spans="1:19" x14ac:dyDescent="0.2">
      <c r="A5">
        <v>4</v>
      </c>
      <c r="C5" t="s">
        <v>4</v>
      </c>
      <c r="D5" s="1">
        <v>1210002</v>
      </c>
      <c r="E5" t="s">
        <v>134</v>
      </c>
      <c r="F5" s="2">
        <v>45708</v>
      </c>
      <c r="G5" s="2">
        <v>46031</v>
      </c>
      <c r="I5" s="5">
        <f t="shared" si="1"/>
        <v>7</v>
      </c>
      <c r="J5" t="str">
        <f t="shared" si="2"/>
        <v>BPLU1210002|45708|46031</v>
      </c>
      <c r="K5" t="str">
        <f t="shared" si="0"/>
        <v>BPLU1210002|40 FT|High Cube|ZONA</v>
      </c>
    </row>
    <row r="6" spans="1:19" x14ac:dyDescent="0.2">
      <c r="A6">
        <v>5</v>
      </c>
      <c r="C6" t="s">
        <v>2</v>
      </c>
      <c r="D6" s="1">
        <v>5508370</v>
      </c>
      <c r="E6" t="s">
        <v>134</v>
      </c>
      <c r="F6" s="2">
        <v>45712</v>
      </c>
      <c r="I6" s="5">
        <f t="shared" si="1"/>
        <v>7</v>
      </c>
      <c r="J6" t="str">
        <f t="shared" si="2"/>
        <v>GESU5508370|45712|</v>
      </c>
      <c r="K6" t="str">
        <f t="shared" si="0"/>
        <v>GESU5508370|40 FT|High Cube|ZONA</v>
      </c>
    </row>
    <row r="7" spans="1:19" x14ac:dyDescent="0.2">
      <c r="A7">
        <v>6</v>
      </c>
      <c r="C7" t="s">
        <v>5</v>
      </c>
      <c r="D7" s="1">
        <v>6130478</v>
      </c>
      <c r="E7" t="s">
        <v>134</v>
      </c>
      <c r="F7" s="2">
        <v>45732</v>
      </c>
      <c r="I7" s="5">
        <f t="shared" si="1"/>
        <v>7</v>
      </c>
      <c r="J7" t="str">
        <f t="shared" si="2"/>
        <v>TGHU6130478|45732|</v>
      </c>
      <c r="K7" t="str">
        <f t="shared" si="0"/>
        <v>TGHU6130478|40 FT|High Cube|ZONA</v>
      </c>
    </row>
    <row r="8" spans="1:19" x14ac:dyDescent="0.2">
      <c r="A8">
        <v>7</v>
      </c>
      <c r="C8" t="s">
        <v>6</v>
      </c>
      <c r="D8" s="1">
        <v>4688707</v>
      </c>
      <c r="E8" t="s">
        <v>134</v>
      </c>
      <c r="F8" s="2">
        <v>45730</v>
      </c>
      <c r="G8" s="2">
        <v>46233</v>
      </c>
      <c r="I8" s="5">
        <f t="shared" si="1"/>
        <v>7</v>
      </c>
      <c r="J8" t="str">
        <f t="shared" si="2"/>
        <v>UESU4688707|45730|46233</v>
      </c>
      <c r="K8" t="str">
        <f t="shared" si="0"/>
        <v>UESU4688707|40 FT|High Cube|ZONA</v>
      </c>
    </row>
    <row r="9" spans="1:19" x14ac:dyDescent="0.2">
      <c r="A9">
        <v>8</v>
      </c>
      <c r="C9" t="s">
        <v>7</v>
      </c>
      <c r="D9" s="1">
        <v>1531909</v>
      </c>
      <c r="E9" t="s">
        <v>134</v>
      </c>
      <c r="F9" s="2">
        <v>45736</v>
      </c>
      <c r="I9" s="5">
        <f t="shared" si="1"/>
        <v>7</v>
      </c>
      <c r="J9" t="str">
        <f t="shared" si="2"/>
        <v>HJMU1531909|45736|</v>
      </c>
      <c r="K9" t="str">
        <f t="shared" si="0"/>
        <v>HJMU1531909|40 FT|High Cube|ZONA</v>
      </c>
    </row>
    <row r="10" spans="1:19" x14ac:dyDescent="0.2">
      <c r="A10">
        <v>9</v>
      </c>
      <c r="C10" t="s">
        <v>8</v>
      </c>
      <c r="D10" s="1">
        <v>6973772</v>
      </c>
      <c r="E10" t="s">
        <v>134</v>
      </c>
      <c r="F10" s="2">
        <v>45736</v>
      </c>
      <c r="I10" s="5">
        <f t="shared" si="1"/>
        <v>7</v>
      </c>
      <c r="J10" t="str">
        <f t="shared" si="2"/>
        <v>NYKU6973772|45736|</v>
      </c>
      <c r="K10" t="str">
        <f t="shared" si="0"/>
        <v>NYKU6973772|40 FT|High Cube|ZONA</v>
      </c>
    </row>
    <row r="11" spans="1:19" x14ac:dyDescent="0.2">
      <c r="A11">
        <v>10</v>
      </c>
      <c r="C11" t="s">
        <v>9</v>
      </c>
      <c r="D11" s="1">
        <v>9298391</v>
      </c>
      <c r="E11" t="s">
        <v>134</v>
      </c>
      <c r="F11" s="2">
        <v>45736</v>
      </c>
      <c r="I11" s="5">
        <f t="shared" si="1"/>
        <v>7</v>
      </c>
      <c r="J11" t="str">
        <f t="shared" si="2"/>
        <v>FCIU9298391|45736|</v>
      </c>
      <c r="K11" t="str">
        <f t="shared" si="0"/>
        <v>FCIU9298391|40 FT|High Cube|ZONA</v>
      </c>
    </row>
    <row r="12" spans="1:19" x14ac:dyDescent="0.2">
      <c r="A12">
        <v>11</v>
      </c>
      <c r="C12" t="s">
        <v>10</v>
      </c>
      <c r="D12" s="1">
        <v>3687290</v>
      </c>
      <c r="E12" t="s">
        <v>149</v>
      </c>
      <c r="F12" s="2">
        <v>45883</v>
      </c>
      <c r="G12" s="2">
        <v>46231</v>
      </c>
      <c r="I12">
        <f t="shared" si="1"/>
        <v>7</v>
      </c>
      <c r="J12" t="str">
        <f t="shared" si="2"/>
        <v>OOLU3687290|45883|46231</v>
      </c>
      <c r="K12" t="str">
        <f t="shared" ref="K12:K75" si="3">C12&amp;D12&amp;"|"&amp;E12&amp;"|"&amp;"DRY"&amp;"|"&amp;"ZONA"</f>
        <v>OOLU3687290|20 FT|DRY|ZONA</v>
      </c>
    </row>
    <row r="13" spans="1:19" x14ac:dyDescent="0.2">
      <c r="A13">
        <v>12</v>
      </c>
      <c r="C13" t="s">
        <v>11</v>
      </c>
      <c r="D13" s="1">
        <v>2740070</v>
      </c>
      <c r="E13" t="s">
        <v>149</v>
      </c>
      <c r="F13" s="2">
        <v>45883</v>
      </c>
      <c r="G13" s="2">
        <v>46243</v>
      </c>
      <c r="I13">
        <f t="shared" si="1"/>
        <v>7</v>
      </c>
      <c r="J13" t="str">
        <f t="shared" si="2"/>
        <v>TEMU2740070|45883|46243</v>
      </c>
      <c r="K13" t="str">
        <f t="shared" si="3"/>
        <v>TEMU2740070|20 FT|DRY|ZONA</v>
      </c>
    </row>
    <row r="14" spans="1:19" x14ac:dyDescent="0.2">
      <c r="A14">
        <v>13</v>
      </c>
      <c r="C14" t="s">
        <v>5</v>
      </c>
      <c r="D14" s="1" t="s">
        <v>12</v>
      </c>
      <c r="E14" t="s">
        <v>149</v>
      </c>
      <c r="F14" s="2">
        <v>45883</v>
      </c>
      <c r="I14">
        <f t="shared" si="1"/>
        <v>7</v>
      </c>
      <c r="J14" t="str">
        <f t="shared" si="2"/>
        <v>TGHU0833730|45883|</v>
      </c>
      <c r="K14" t="str">
        <f t="shared" si="3"/>
        <v>TGHU0833730|20 FT|DRY|ZONA</v>
      </c>
    </row>
    <row r="15" spans="1:19" x14ac:dyDescent="0.2">
      <c r="A15">
        <v>14</v>
      </c>
      <c r="C15" t="s">
        <v>13</v>
      </c>
      <c r="D15" s="1">
        <v>5700122</v>
      </c>
      <c r="E15" t="s">
        <v>149</v>
      </c>
      <c r="F15" s="2">
        <v>45883</v>
      </c>
      <c r="G15" s="2">
        <v>46029</v>
      </c>
      <c r="I15">
        <f t="shared" si="1"/>
        <v>7</v>
      </c>
      <c r="J15" t="str">
        <f t="shared" si="2"/>
        <v>CBHU5700122|45883|46029</v>
      </c>
      <c r="K15" t="str">
        <f t="shared" si="3"/>
        <v>CBHU5700122|20 FT|DRY|ZONA</v>
      </c>
    </row>
    <row r="16" spans="1:19" x14ac:dyDescent="0.2">
      <c r="A16">
        <v>15</v>
      </c>
      <c r="C16" t="s">
        <v>14</v>
      </c>
      <c r="D16" s="1" t="s">
        <v>15</v>
      </c>
      <c r="E16" t="s">
        <v>149</v>
      </c>
      <c r="F16" s="2">
        <v>45883</v>
      </c>
      <c r="G16" s="2">
        <v>46030</v>
      </c>
      <c r="I16">
        <f t="shared" si="1"/>
        <v>7</v>
      </c>
      <c r="J16" t="str">
        <f t="shared" si="2"/>
        <v>WHLU0201602|45883|46030</v>
      </c>
      <c r="K16" t="str">
        <f t="shared" si="3"/>
        <v>WHLU0201602|20 FT|DRY|ZONA</v>
      </c>
    </row>
    <row r="17" spans="1:11" x14ac:dyDescent="0.2">
      <c r="A17">
        <v>16</v>
      </c>
      <c r="C17" t="s">
        <v>11</v>
      </c>
      <c r="D17" s="1">
        <v>2863449</v>
      </c>
      <c r="E17" t="s">
        <v>149</v>
      </c>
      <c r="F17" s="2">
        <v>45883</v>
      </c>
      <c r="G17" s="2">
        <v>46141</v>
      </c>
      <c r="I17">
        <f t="shared" si="1"/>
        <v>7</v>
      </c>
      <c r="J17" t="str">
        <f t="shared" si="2"/>
        <v>TEMU2863449|45883|46141</v>
      </c>
      <c r="K17" t="str">
        <f t="shared" si="3"/>
        <v>TEMU2863449|20 FT|DRY|ZONA</v>
      </c>
    </row>
    <row r="18" spans="1:11" x14ac:dyDescent="0.2">
      <c r="A18">
        <v>17</v>
      </c>
      <c r="C18" t="s">
        <v>16</v>
      </c>
      <c r="D18" s="1">
        <v>1819649</v>
      </c>
      <c r="E18" t="s">
        <v>149</v>
      </c>
      <c r="F18" s="2">
        <v>45883</v>
      </c>
      <c r="I18">
        <f t="shared" si="1"/>
        <v>7</v>
      </c>
      <c r="J18" t="str">
        <f t="shared" si="2"/>
        <v>ECMU1819649|45883|</v>
      </c>
      <c r="K18" t="str">
        <f t="shared" si="3"/>
        <v>ECMU1819649|20 FT|DRY|ZONA</v>
      </c>
    </row>
    <row r="19" spans="1:11" x14ac:dyDescent="0.2">
      <c r="A19">
        <v>18</v>
      </c>
      <c r="C19" t="s">
        <v>17</v>
      </c>
      <c r="D19" s="1">
        <v>1412020</v>
      </c>
      <c r="E19" t="s">
        <v>149</v>
      </c>
      <c r="F19" s="2">
        <v>45883</v>
      </c>
      <c r="G19" s="2">
        <v>46243</v>
      </c>
      <c r="I19">
        <f t="shared" si="1"/>
        <v>7</v>
      </c>
      <c r="J19" t="str">
        <f t="shared" si="2"/>
        <v>CRSU1412020|45883|46243</v>
      </c>
      <c r="K19" t="str">
        <f t="shared" si="3"/>
        <v>CRSU1412020|20 FT|DRY|ZONA</v>
      </c>
    </row>
    <row r="20" spans="1:11" x14ac:dyDescent="0.2">
      <c r="A20">
        <v>19</v>
      </c>
      <c r="C20" t="s">
        <v>3</v>
      </c>
      <c r="D20" s="1">
        <v>2582797</v>
      </c>
      <c r="E20" t="s">
        <v>149</v>
      </c>
      <c r="F20" s="2">
        <v>45884</v>
      </c>
      <c r="G20" s="2">
        <v>46199</v>
      </c>
      <c r="I20">
        <f t="shared" si="1"/>
        <v>7</v>
      </c>
      <c r="J20" t="str">
        <f t="shared" si="2"/>
        <v>MSKU2582797|45884|46199</v>
      </c>
      <c r="K20" t="str">
        <f t="shared" si="3"/>
        <v>MSKU2582797|20 FT|DRY|ZONA</v>
      </c>
    </row>
    <row r="21" spans="1:11" x14ac:dyDescent="0.2">
      <c r="A21">
        <v>20</v>
      </c>
      <c r="C21" t="s">
        <v>9</v>
      </c>
      <c r="D21" s="1">
        <v>3493087</v>
      </c>
      <c r="E21" t="s">
        <v>149</v>
      </c>
      <c r="F21" s="2">
        <v>45884</v>
      </c>
      <c r="I21">
        <f t="shared" si="1"/>
        <v>7</v>
      </c>
      <c r="J21" t="str">
        <f t="shared" si="2"/>
        <v>FCIU3493087|45884|</v>
      </c>
      <c r="K21" t="str">
        <f t="shared" si="3"/>
        <v>FCIU3493087|20 FT|DRY|ZONA</v>
      </c>
    </row>
    <row r="22" spans="1:11" x14ac:dyDescent="0.2">
      <c r="A22">
        <v>21</v>
      </c>
      <c r="C22" t="s">
        <v>18</v>
      </c>
      <c r="D22" s="1">
        <v>7693300</v>
      </c>
      <c r="E22" t="s">
        <v>149</v>
      </c>
      <c r="F22" s="2">
        <v>45884</v>
      </c>
      <c r="G22" s="2">
        <v>46029</v>
      </c>
      <c r="I22">
        <f t="shared" si="1"/>
        <v>7</v>
      </c>
      <c r="J22" t="str">
        <f t="shared" si="2"/>
        <v>KKTU7693300|45884|46029</v>
      </c>
      <c r="K22" t="str">
        <f t="shared" si="3"/>
        <v>KKTU7693300|20 FT|DRY|ZONA</v>
      </c>
    </row>
    <row r="23" spans="1:11" x14ac:dyDescent="0.2">
      <c r="A23">
        <v>22</v>
      </c>
      <c r="C23" t="s">
        <v>19</v>
      </c>
      <c r="D23" s="1">
        <v>2622206</v>
      </c>
      <c r="E23" t="s">
        <v>149</v>
      </c>
      <c r="F23" s="2">
        <v>45884</v>
      </c>
      <c r="G23" s="2">
        <v>46032</v>
      </c>
      <c r="I23">
        <f t="shared" si="1"/>
        <v>7</v>
      </c>
      <c r="J23" t="str">
        <f t="shared" si="2"/>
        <v>DNAU2622206|45884|46032</v>
      </c>
      <c r="K23" t="str">
        <f t="shared" si="3"/>
        <v>DNAU2622206|20 FT|DRY|ZONA</v>
      </c>
    </row>
    <row r="24" spans="1:11" x14ac:dyDescent="0.2">
      <c r="A24">
        <v>23</v>
      </c>
      <c r="C24" t="s">
        <v>20</v>
      </c>
      <c r="D24" s="1">
        <v>2104936</v>
      </c>
      <c r="E24" t="s">
        <v>149</v>
      </c>
      <c r="F24" s="2">
        <v>45884</v>
      </c>
      <c r="G24" s="2">
        <v>46220</v>
      </c>
      <c r="I24">
        <f t="shared" si="1"/>
        <v>7</v>
      </c>
      <c r="J24" t="str">
        <f t="shared" si="2"/>
        <v>GLDU2104936|45884|46220</v>
      </c>
      <c r="K24" t="str">
        <f t="shared" si="3"/>
        <v>GLDU2104936|20 FT|DRY|ZONA</v>
      </c>
    </row>
    <row r="25" spans="1:11" x14ac:dyDescent="0.2">
      <c r="A25">
        <v>24</v>
      </c>
      <c r="C25" t="s">
        <v>5</v>
      </c>
      <c r="D25" s="1">
        <v>3988490</v>
      </c>
      <c r="E25" t="s">
        <v>149</v>
      </c>
      <c r="F25" s="2">
        <v>45884</v>
      </c>
      <c r="G25" s="2">
        <v>46032</v>
      </c>
      <c r="I25">
        <f t="shared" si="1"/>
        <v>7</v>
      </c>
      <c r="J25" t="str">
        <f t="shared" si="2"/>
        <v>TGHU3988490|45884|46032</v>
      </c>
      <c r="K25" t="str">
        <f t="shared" si="3"/>
        <v>TGHU3988490|20 FT|DRY|ZONA</v>
      </c>
    </row>
    <row r="26" spans="1:11" x14ac:dyDescent="0.2">
      <c r="A26">
        <v>25</v>
      </c>
      <c r="C26" t="s">
        <v>21</v>
      </c>
      <c r="D26" s="1">
        <v>2898481</v>
      </c>
      <c r="E26" t="s">
        <v>149</v>
      </c>
      <c r="F26" s="2">
        <v>45884</v>
      </c>
      <c r="G26" s="2">
        <v>46254</v>
      </c>
      <c r="I26">
        <f t="shared" si="1"/>
        <v>7</v>
      </c>
      <c r="J26" t="str">
        <f t="shared" si="2"/>
        <v>PCIU2898481|45884|46254</v>
      </c>
      <c r="K26" t="str">
        <f t="shared" si="3"/>
        <v>PCIU2898481|20 FT|DRY|ZONA</v>
      </c>
    </row>
    <row r="27" spans="1:11" x14ac:dyDescent="0.2">
      <c r="A27">
        <v>26</v>
      </c>
      <c r="C27" t="s">
        <v>22</v>
      </c>
      <c r="D27" s="1">
        <v>6957872</v>
      </c>
      <c r="E27" t="s">
        <v>149</v>
      </c>
      <c r="F27" s="2">
        <v>45884</v>
      </c>
      <c r="G27" s="2">
        <v>46029</v>
      </c>
      <c r="I27">
        <f t="shared" si="1"/>
        <v>7</v>
      </c>
      <c r="J27" t="str">
        <f t="shared" si="2"/>
        <v>MAEU6957872|45884|46029</v>
      </c>
      <c r="K27" t="str">
        <f t="shared" si="3"/>
        <v>MAEU6957872|20 FT|DRY|ZONA</v>
      </c>
    </row>
    <row r="28" spans="1:11" x14ac:dyDescent="0.2">
      <c r="A28">
        <v>27</v>
      </c>
      <c r="C28" t="s">
        <v>23</v>
      </c>
      <c r="D28" s="1">
        <v>6038844</v>
      </c>
      <c r="E28" t="s">
        <v>149</v>
      </c>
      <c r="F28" s="2">
        <v>45884</v>
      </c>
      <c r="I28">
        <f t="shared" si="1"/>
        <v>7</v>
      </c>
      <c r="J28" t="str">
        <f t="shared" si="2"/>
        <v>EMCU6038844|45884|</v>
      </c>
      <c r="K28" t="str">
        <f t="shared" si="3"/>
        <v>EMCU6038844|20 FT|DRY|ZONA</v>
      </c>
    </row>
    <row r="29" spans="1:11" x14ac:dyDescent="0.2">
      <c r="A29">
        <v>28</v>
      </c>
      <c r="C29" t="s">
        <v>2</v>
      </c>
      <c r="D29" s="1">
        <v>3809117</v>
      </c>
      <c r="E29" t="s">
        <v>149</v>
      </c>
      <c r="F29" s="2">
        <v>45884</v>
      </c>
      <c r="G29" s="2">
        <v>46239</v>
      </c>
      <c r="I29">
        <f t="shared" si="1"/>
        <v>7</v>
      </c>
      <c r="J29" t="str">
        <f t="shared" si="2"/>
        <v>GESU3809117|45884|46239</v>
      </c>
      <c r="K29" t="str">
        <f t="shared" si="3"/>
        <v>GESU3809117|20 FT|DRY|ZONA</v>
      </c>
    </row>
    <row r="30" spans="1:11" x14ac:dyDescent="0.2">
      <c r="A30">
        <v>29</v>
      </c>
      <c r="C30" t="s">
        <v>23</v>
      </c>
      <c r="D30" s="1">
        <v>3919740</v>
      </c>
      <c r="E30" t="s">
        <v>149</v>
      </c>
      <c r="F30" s="2">
        <v>45884</v>
      </c>
      <c r="I30">
        <f t="shared" si="1"/>
        <v>7</v>
      </c>
      <c r="J30" t="str">
        <f t="shared" si="2"/>
        <v>EMCU3919740|45884|</v>
      </c>
      <c r="K30" t="str">
        <f t="shared" si="3"/>
        <v>EMCU3919740|20 FT|DRY|ZONA</v>
      </c>
    </row>
    <row r="31" spans="1:11" x14ac:dyDescent="0.2">
      <c r="A31">
        <v>30</v>
      </c>
      <c r="C31" t="s">
        <v>10</v>
      </c>
      <c r="D31" s="1">
        <v>1536654</v>
      </c>
      <c r="E31" t="s">
        <v>149</v>
      </c>
      <c r="F31" s="2">
        <v>45885</v>
      </c>
      <c r="G31" s="2">
        <v>46249</v>
      </c>
      <c r="I31">
        <f t="shared" si="1"/>
        <v>7</v>
      </c>
      <c r="J31" t="str">
        <f t="shared" si="2"/>
        <v>OOLU1536654|45885|46249</v>
      </c>
      <c r="K31" t="str">
        <f t="shared" si="3"/>
        <v>OOLU1536654|20 FT|DRY|ZONA</v>
      </c>
    </row>
    <row r="32" spans="1:11" x14ac:dyDescent="0.2">
      <c r="A32">
        <v>31</v>
      </c>
      <c r="C32" t="s">
        <v>24</v>
      </c>
      <c r="D32" s="1">
        <v>2972932</v>
      </c>
      <c r="E32" t="s">
        <v>149</v>
      </c>
      <c r="F32" s="2">
        <v>45885</v>
      </c>
      <c r="G32" s="2">
        <v>46032</v>
      </c>
      <c r="I32">
        <f t="shared" si="1"/>
        <v>7</v>
      </c>
      <c r="J32" t="str">
        <f t="shared" si="2"/>
        <v>APLS2972932|45885|46032</v>
      </c>
      <c r="K32" t="str">
        <f t="shared" si="3"/>
        <v>APLS2972932|20 FT|DRY|ZONA</v>
      </c>
    </row>
    <row r="33" spans="1:11" x14ac:dyDescent="0.2">
      <c r="A33">
        <v>32</v>
      </c>
      <c r="C33" t="s">
        <v>11</v>
      </c>
      <c r="D33" s="1">
        <v>2697250</v>
      </c>
      <c r="E33" t="s">
        <v>149</v>
      </c>
      <c r="F33" s="2">
        <v>45885</v>
      </c>
      <c r="G33" s="2">
        <v>46251</v>
      </c>
      <c r="I33">
        <f t="shared" si="1"/>
        <v>7</v>
      </c>
      <c r="J33" t="str">
        <f t="shared" si="2"/>
        <v>TEMU2697250|45885|46251</v>
      </c>
      <c r="K33" t="str">
        <f t="shared" si="3"/>
        <v>TEMU2697250|20 FT|DRY|ZONA</v>
      </c>
    </row>
    <row r="34" spans="1:11" x14ac:dyDescent="0.2">
      <c r="A34">
        <v>33</v>
      </c>
      <c r="C34" t="s">
        <v>2</v>
      </c>
      <c r="D34" s="1">
        <v>2615101</v>
      </c>
      <c r="E34" t="s">
        <v>149</v>
      </c>
      <c r="F34" s="2">
        <v>45885</v>
      </c>
      <c r="G34" s="2">
        <v>46031</v>
      </c>
      <c r="I34">
        <f t="shared" si="1"/>
        <v>7</v>
      </c>
      <c r="J34" t="str">
        <f t="shared" si="2"/>
        <v>GESU2615101|45885|46031</v>
      </c>
      <c r="K34" t="str">
        <f t="shared" si="3"/>
        <v>GESU2615101|20 FT|DRY|ZONA</v>
      </c>
    </row>
    <row r="35" spans="1:11" x14ac:dyDescent="0.2">
      <c r="A35">
        <v>34</v>
      </c>
      <c r="C35" t="s">
        <v>25</v>
      </c>
      <c r="D35" s="1">
        <v>2292882</v>
      </c>
      <c r="E35" t="s">
        <v>149</v>
      </c>
      <c r="F35" s="2">
        <v>45884</v>
      </c>
      <c r="G35" s="2">
        <v>46225</v>
      </c>
      <c r="I35">
        <f t="shared" si="1"/>
        <v>7</v>
      </c>
      <c r="J35" t="str">
        <f t="shared" si="2"/>
        <v>DRYU2292882|45884|46225</v>
      </c>
      <c r="K35" t="str">
        <f t="shared" si="3"/>
        <v>DRYU2292882|20 FT|DRY|ZONA</v>
      </c>
    </row>
    <row r="36" spans="1:11" x14ac:dyDescent="0.2">
      <c r="A36">
        <v>35</v>
      </c>
      <c r="C36" t="s">
        <v>26</v>
      </c>
      <c r="D36" s="1">
        <v>1056446</v>
      </c>
      <c r="E36" t="s">
        <v>149</v>
      </c>
      <c r="F36" s="2">
        <v>45885</v>
      </c>
      <c r="G36" s="2">
        <v>46031</v>
      </c>
      <c r="I36">
        <f t="shared" si="1"/>
        <v>7</v>
      </c>
      <c r="J36" t="str">
        <f t="shared" si="2"/>
        <v>GATU1056446|45885|46031</v>
      </c>
      <c r="K36" t="str">
        <f t="shared" si="3"/>
        <v>GATU1056446|20 FT|DRY|ZONA</v>
      </c>
    </row>
    <row r="37" spans="1:11" x14ac:dyDescent="0.2">
      <c r="A37">
        <v>36</v>
      </c>
      <c r="C37" t="s">
        <v>27</v>
      </c>
      <c r="D37" s="1">
        <v>3796647</v>
      </c>
      <c r="E37" t="s">
        <v>149</v>
      </c>
      <c r="F37" s="2">
        <v>45888</v>
      </c>
      <c r="G37" s="2">
        <v>46085</v>
      </c>
      <c r="I37">
        <f t="shared" si="1"/>
        <v>7</v>
      </c>
      <c r="J37" t="str">
        <f t="shared" si="2"/>
        <v>TEXU3796647|45888|46085</v>
      </c>
      <c r="K37" t="str">
        <f t="shared" si="3"/>
        <v>TEXU3796647|20 FT|DRY|ZONA</v>
      </c>
    </row>
    <row r="38" spans="1:11" x14ac:dyDescent="0.2">
      <c r="A38">
        <v>37</v>
      </c>
      <c r="C38" t="s">
        <v>6</v>
      </c>
      <c r="D38" s="1">
        <v>2310702</v>
      </c>
      <c r="E38" t="s">
        <v>149</v>
      </c>
      <c r="F38" s="2">
        <v>45888</v>
      </c>
      <c r="G38" s="2">
        <v>46085</v>
      </c>
      <c r="I38">
        <f t="shared" si="1"/>
        <v>7</v>
      </c>
      <c r="J38" t="str">
        <f t="shared" si="2"/>
        <v>UESU2310702|45888|46085</v>
      </c>
      <c r="K38" t="str">
        <f t="shared" si="3"/>
        <v>UESU2310702|20 FT|DRY|ZONA</v>
      </c>
    </row>
    <row r="39" spans="1:11" x14ac:dyDescent="0.2">
      <c r="A39">
        <v>38</v>
      </c>
      <c r="C39" t="s">
        <v>28</v>
      </c>
      <c r="D39" s="1">
        <v>2024779</v>
      </c>
      <c r="E39" t="s">
        <v>149</v>
      </c>
      <c r="F39" s="2">
        <v>45887</v>
      </c>
      <c r="G39" s="2">
        <v>46239</v>
      </c>
      <c r="I39">
        <f t="shared" si="1"/>
        <v>7</v>
      </c>
      <c r="J39" t="str">
        <f t="shared" si="2"/>
        <v>FORU2024779|45887|46239</v>
      </c>
      <c r="K39" t="str">
        <f t="shared" si="3"/>
        <v>FORU2024779|20 FT|DRY|ZONA</v>
      </c>
    </row>
    <row r="40" spans="1:11" x14ac:dyDescent="0.2">
      <c r="A40">
        <v>39</v>
      </c>
      <c r="C40" t="s">
        <v>2</v>
      </c>
      <c r="D40" s="1">
        <v>3042262</v>
      </c>
      <c r="E40" t="s">
        <v>149</v>
      </c>
      <c r="F40" s="2">
        <v>45888</v>
      </c>
      <c r="G40" s="2">
        <v>46238</v>
      </c>
      <c r="I40">
        <f t="shared" si="1"/>
        <v>7</v>
      </c>
      <c r="J40" t="str">
        <f t="shared" si="2"/>
        <v>GESU3042262|45888|46238</v>
      </c>
      <c r="K40" t="str">
        <f t="shared" si="3"/>
        <v>GESU3042262|20 FT|DRY|ZONA</v>
      </c>
    </row>
    <row r="41" spans="1:11" x14ac:dyDescent="0.2">
      <c r="A41">
        <v>40</v>
      </c>
      <c r="C41" t="s">
        <v>11</v>
      </c>
      <c r="D41" s="1">
        <v>3769890</v>
      </c>
      <c r="E41" t="s">
        <v>149</v>
      </c>
      <c r="F41" s="2">
        <v>45887</v>
      </c>
      <c r="I41">
        <f t="shared" si="1"/>
        <v>7</v>
      </c>
      <c r="J41" t="str">
        <f t="shared" si="2"/>
        <v>TEMU3769890|45887|</v>
      </c>
      <c r="K41" t="str">
        <f t="shared" si="3"/>
        <v>TEMU3769890|20 FT|DRY|ZONA</v>
      </c>
    </row>
    <row r="42" spans="1:11" x14ac:dyDescent="0.2">
      <c r="A42">
        <v>41</v>
      </c>
      <c r="C42" t="s">
        <v>29</v>
      </c>
      <c r="D42" s="1">
        <v>3064959</v>
      </c>
      <c r="E42" t="s">
        <v>149</v>
      </c>
      <c r="F42" s="2">
        <v>45888</v>
      </c>
      <c r="G42" s="2">
        <v>46253</v>
      </c>
      <c r="I42">
        <f t="shared" si="1"/>
        <v>7</v>
      </c>
      <c r="J42" t="str">
        <f t="shared" si="2"/>
        <v>CRXU3064959|45888|46253</v>
      </c>
      <c r="K42" t="str">
        <f t="shared" si="3"/>
        <v>CRXU3064959|20 FT|DRY|ZONA</v>
      </c>
    </row>
    <row r="43" spans="1:11" x14ac:dyDescent="0.2">
      <c r="A43">
        <v>42</v>
      </c>
      <c r="C43" t="s">
        <v>25</v>
      </c>
      <c r="D43" s="1">
        <v>2524550</v>
      </c>
      <c r="E43" t="s">
        <v>149</v>
      </c>
      <c r="F43" s="2">
        <v>45888</v>
      </c>
      <c r="G43" s="2">
        <v>46251</v>
      </c>
      <c r="I43">
        <f t="shared" si="1"/>
        <v>7</v>
      </c>
      <c r="J43" t="str">
        <f t="shared" si="2"/>
        <v>DRYU2524550|45888|46251</v>
      </c>
      <c r="K43" t="str">
        <f t="shared" si="3"/>
        <v>DRYU2524550|20 FT|DRY|ZONA</v>
      </c>
    </row>
    <row r="44" spans="1:11" x14ac:dyDescent="0.2">
      <c r="A44">
        <v>43</v>
      </c>
      <c r="C44" t="s">
        <v>11</v>
      </c>
      <c r="D44" s="1">
        <v>2353770</v>
      </c>
      <c r="E44" t="s">
        <v>149</v>
      </c>
      <c r="F44" s="2">
        <v>45888</v>
      </c>
      <c r="G44" s="2">
        <v>46184</v>
      </c>
      <c r="I44">
        <f t="shared" si="1"/>
        <v>7</v>
      </c>
      <c r="J44" t="str">
        <f t="shared" si="2"/>
        <v>TEMU2353770|45888|46184</v>
      </c>
      <c r="K44" t="str">
        <f t="shared" si="3"/>
        <v>TEMU2353770|20 FT|DRY|ZONA</v>
      </c>
    </row>
    <row r="45" spans="1:11" x14ac:dyDescent="0.2">
      <c r="A45">
        <v>44</v>
      </c>
      <c r="C45" t="s">
        <v>27</v>
      </c>
      <c r="D45" s="1">
        <v>3818073</v>
      </c>
      <c r="E45" t="s">
        <v>149</v>
      </c>
      <c r="F45" s="2">
        <v>45888</v>
      </c>
      <c r="G45" s="2">
        <v>46221</v>
      </c>
      <c r="I45">
        <f t="shared" si="1"/>
        <v>7</v>
      </c>
      <c r="J45" t="str">
        <f t="shared" si="2"/>
        <v>TEXU3818073|45888|46221</v>
      </c>
      <c r="K45" t="str">
        <f t="shared" si="3"/>
        <v>TEXU3818073|20 FT|DRY|ZONA</v>
      </c>
    </row>
    <row r="46" spans="1:11" x14ac:dyDescent="0.2">
      <c r="A46">
        <v>45</v>
      </c>
      <c r="C46" t="s">
        <v>13</v>
      </c>
      <c r="D46" s="1">
        <v>5604788</v>
      </c>
      <c r="E46" t="s">
        <v>149</v>
      </c>
      <c r="F46" s="2">
        <v>45888</v>
      </c>
      <c r="I46">
        <f t="shared" si="1"/>
        <v>7</v>
      </c>
      <c r="J46" t="str">
        <f t="shared" si="2"/>
        <v>CBHU5604788|45888|</v>
      </c>
      <c r="K46" t="str">
        <f t="shared" si="3"/>
        <v>CBHU5604788|20 FT|DRY|ZONA</v>
      </c>
    </row>
    <row r="47" spans="1:11" x14ac:dyDescent="0.2">
      <c r="A47">
        <v>46</v>
      </c>
      <c r="C47" t="s">
        <v>10</v>
      </c>
      <c r="D47" s="1">
        <v>1412308</v>
      </c>
      <c r="E47" t="s">
        <v>149</v>
      </c>
      <c r="F47" s="2">
        <v>45888</v>
      </c>
      <c r="G47" s="2">
        <v>46252</v>
      </c>
      <c r="I47">
        <f t="shared" si="1"/>
        <v>7</v>
      </c>
      <c r="J47" t="str">
        <f t="shared" si="2"/>
        <v>OOLU1412308|45888|46252</v>
      </c>
      <c r="K47" t="str">
        <f t="shared" si="3"/>
        <v>OOLU1412308|20 FT|DRY|ZONA</v>
      </c>
    </row>
    <row r="48" spans="1:11" x14ac:dyDescent="0.2">
      <c r="A48">
        <v>47</v>
      </c>
      <c r="C48" t="s">
        <v>13</v>
      </c>
      <c r="D48" s="1">
        <v>3665634</v>
      </c>
      <c r="E48" t="s">
        <v>149</v>
      </c>
      <c r="F48" s="2">
        <v>45888</v>
      </c>
      <c r="G48" s="2">
        <v>46058</v>
      </c>
      <c r="I48">
        <f t="shared" si="1"/>
        <v>7</v>
      </c>
      <c r="J48" t="str">
        <f t="shared" si="2"/>
        <v>CBHU3665634|45888|46058</v>
      </c>
      <c r="K48" t="str">
        <f t="shared" si="3"/>
        <v>CBHU3665634|20 FT|DRY|ZONA</v>
      </c>
    </row>
    <row r="49" spans="1:11" x14ac:dyDescent="0.2">
      <c r="A49">
        <v>48</v>
      </c>
      <c r="C49" t="s">
        <v>10</v>
      </c>
      <c r="D49" s="1">
        <v>1375333</v>
      </c>
      <c r="E49" t="s">
        <v>149</v>
      </c>
      <c r="F49" s="2">
        <v>45887</v>
      </c>
      <c r="G49" s="2">
        <v>46033</v>
      </c>
      <c r="I49">
        <f t="shared" si="1"/>
        <v>7</v>
      </c>
      <c r="J49" t="str">
        <f t="shared" si="2"/>
        <v>OOLU1375333|45887|46033</v>
      </c>
      <c r="K49" t="str">
        <f t="shared" si="3"/>
        <v>OOLU1375333|20 FT|DRY|ZONA</v>
      </c>
    </row>
    <row r="50" spans="1:11" x14ac:dyDescent="0.2">
      <c r="A50">
        <v>49</v>
      </c>
      <c r="C50" t="s">
        <v>30</v>
      </c>
      <c r="D50" s="1">
        <v>1059942</v>
      </c>
      <c r="E50" t="s">
        <v>149</v>
      </c>
      <c r="F50" s="2">
        <v>45888</v>
      </c>
      <c r="G50" s="2">
        <v>46029</v>
      </c>
      <c r="I50">
        <f t="shared" si="1"/>
        <v>7</v>
      </c>
      <c r="J50" t="str">
        <f t="shared" si="2"/>
        <v>CSLU1059942|45888|46029</v>
      </c>
      <c r="K50" t="str">
        <f t="shared" si="3"/>
        <v>CSLU1059942|20 FT|DRY|ZONA</v>
      </c>
    </row>
    <row r="51" spans="1:11" x14ac:dyDescent="0.2">
      <c r="A51">
        <v>50</v>
      </c>
      <c r="C51" t="s">
        <v>31</v>
      </c>
      <c r="D51" s="1">
        <v>3651034</v>
      </c>
      <c r="E51" t="s">
        <v>149</v>
      </c>
      <c r="F51" s="2">
        <v>45888</v>
      </c>
      <c r="I51">
        <f t="shared" si="1"/>
        <v>7</v>
      </c>
      <c r="J51" t="str">
        <f t="shared" si="2"/>
        <v>CCLU3651034|45888|</v>
      </c>
      <c r="K51" t="str">
        <f t="shared" si="3"/>
        <v>CCLU3651034|20 FT|DRY|ZONA</v>
      </c>
    </row>
    <row r="52" spans="1:11" x14ac:dyDescent="0.2">
      <c r="A52">
        <v>51</v>
      </c>
      <c r="C52" t="s">
        <v>32</v>
      </c>
      <c r="D52" s="1">
        <v>7399144</v>
      </c>
      <c r="E52" t="s">
        <v>149</v>
      </c>
      <c r="F52" s="2">
        <v>45888</v>
      </c>
      <c r="G52" s="2">
        <v>46264</v>
      </c>
      <c r="I52">
        <f t="shared" si="1"/>
        <v>7</v>
      </c>
      <c r="J52" t="str">
        <f t="shared" si="2"/>
        <v>FSCU7399144|45888|46264</v>
      </c>
      <c r="K52" t="str">
        <f t="shared" si="3"/>
        <v>FSCU7399144|20 FT|DRY|ZONA</v>
      </c>
    </row>
    <row r="53" spans="1:11" x14ac:dyDescent="0.2">
      <c r="A53">
        <v>52</v>
      </c>
      <c r="C53" t="s">
        <v>9</v>
      </c>
      <c r="D53" s="1">
        <v>2668909</v>
      </c>
      <c r="E53" t="s">
        <v>149</v>
      </c>
      <c r="F53" s="2">
        <v>45888</v>
      </c>
      <c r="G53" s="2">
        <v>46251</v>
      </c>
      <c r="I53">
        <f t="shared" si="1"/>
        <v>7</v>
      </c>
      <c r="J53" t="str">
        <f t="shared" si="2"/>
        <v>FCIU2668909|45888|46251</v>
      </c>
      <c r="K53" t="str">
        <f t="shared" si="3"/>
        <v>FCIU2668909|20 FT|DRY|ZONA</v>
      </c>
    </row>
    <row r="54" spans="1:11" x14ac:dyDescent="0.2">
      <c r="A54">
        <v>53</v>
      </c>
      <c r="C54" t="s">
        <v>29</v>
      </c>
      <c r="D54" s="1">
        <v>1432964</v>
      </c>
      <c r="E54" t="s">
        <v>149</v>
      </c>
      <c r="F54" s="2">
        <v>45889</v>
      </c>
      <c r="G54" s="2">
        <v>46249</v>
      </c>
      <c r="I54">
        <f t="shared" si="1"/>
        <v>7</v>
      </c>
      <c r="J54" t="str">
        <f t="shared" si="2"/>
        <v>CRXU1432964|45889|46249</v>
      </c>
      <c r="K54" t="str">
        <f t="shared" si="3"/>
        <v>CRXU1432964|20 FT|DRY|ZONA</v>
      </c>
    </row>
    <row r="55" spans="1:11" x14ac:dyDescent="0.2">
      <c r="A55">
        <v>54</v>
      </c>
      <c r="C55" t="s">
        <v>33</v>
      </c>
      <c r="D55" s="1">
        <v>2744385</v>
      </c>
      <c r="E55" t="s">
        <v>149</v>
      </c>
      <c r="F55" s="2">
        <v>45889</v>
      </c>
      <c r="G55" s="2">
        <v>46031</v>
      </c>
      <c r="I55">
        <f t="shared" si="1"/>
        <v>7</v>
      </c>
      <c r="J55" t="str">
        <f t="shared" si="2"/>
        <v>CAIU2744385|45889|46031</v>
      </c>
      <c r="K55" t="str">
        <f t="shared" si="3"/>
        <v>CAIU2744385|20 FT|DRY|ZONA</v>
      </c>
    </row>
    <row r="56" spans="1:11" x14ac:dyDescent="0.2">
      <c r="A56">
        <v>55</v>
      </c>
      <c r="C56" t="s">
        <v>23</v>
      </c>
      <c r="D56" s="1">
        <v>6009872</v>
      </c>
      <c r="E56" t="s">
        <v>149</v>
      </c>
      <c r="F56" s="2">
        <v>45889</v>
      </c>
      <c r="G56" s="2">
        <v>46250</v>
      </c>
      <c r="I56">
        <f t="shared" si="1"/>
        <v>7</v>
      </c>
      <c r="J56" t="str">
        <f t="shared" si="2"/>
        <v>EMCU6009872|45889|46250</v>
      </c>
      <c r="K56" t="str">
        <f t="shared" si="3"/>
        <v>EMCU6009872|20 FT|DRY|ZONA</v>
      </c>
    </row>
    <row r="57" spans="1:11" x14ac:dyDescent="0.2">
      <c r="A57">
        <v>56</v>
      </c>
      <c r="C57" t="s">
        <v>10</v>
      </c>
      <c r="D57" s="1">
        <v>1529866</v>
      </c>
      <c r="E57" t="s">
        <v>149</v>
      </c>
      <c r="F57" s="2">
        <v>45889</v>
      </c>
      <c r="I57">
        <f t="shared" si="1"/>
        <v>7</v>
      </c>
      <c r="J57" t="str">
        <f t="shared" si="2"/>
        <v>OOLU1529866|45889|</v>
      </c>
      <c r="K57" t="str">
        <f t="shared" si="3"/>
        <v>OOLU1529866|20 FT|DRY|ZONA</v>
      </c>
    </row>
    <row r="58" spans="1:11" x14ac:dyDescent="0.2">
      <c r="A58">
        <v>57</v>
      </c>
      <c r="C58" t="s">
        <v>11</v>
      </c>
      <c r="D58" s="1">
        <v>2246827</v>
      </c>
      <c r="E58" t="s">
        <v>149</v>
      </c>
      <c r="F58" s="2">
        <v>45889</v>
      </c>
      <c r="I58">
        <f t="shared" si="1"/>
        <v>7</v>
      </c>
      <c r="J58" t="str">
        <f t="shared" si="2"/>
        <v>TEMU2246827|45889|</v>
      </c>
      <c r="K58" t="str">
        <f t="shared" si="3"/>
        <v>TEMU2246827|20 FT|DRY|ZONA</v>
      </c>
    </row>
    <row r="59" spans="1:11" x14ac:dyDescent="0.2">
      <c r="A59">
        <v>58</v>
      </c>
      <c r="C59" t="s">
        <v>34</v>
      </c>
      <c r="D59" s="1">
        <v>1410375</v>
      </c>
      <c r="E59" t="s">
        <v>149</v>
      </c>
      <c r="F59" s="2">
        <v>45889</v>
      </c>
      <c r="G59" s="2">
        <v>46031</v>
      </c>
      <c r="I59">
        <f t="shared" si="1"/>
        <v>7</v>
      </c>
      <c r="J59" t="str">
        <f t="shared" si="2"/>
        <v>SEGU1410375|45889|46031</v>
      </c>
      <c r="K59" t="str">
        <f t="shared" si="3"/>
        <v>SEGU1410375|20 FT|DRY|ZONA</v>
      </c>
    </row>
    <row r="60" spans="1:11" x14ac:dyDescent="0.2">
      <c r="A60">
        <v>59</v>
      </c>
      <c r="C60" t="s">
        <v>30</v>
      </c>
      <c r="D60" s="1">
        <v>1426586</v>
      </c>
      <c r="E60" t="s">
        <v>149</v>
      </c>
      <c r="F60" s="2">
        <v>46183</v>
      </c>
      <c r="G60" s="2">
        <v>46243</v>
      </c>
      <c r="I60">
        <f t="shared" si="1"/>
        <v>7</v>
      </c>
      <c r="J60" t="str">
        <f t="shared" si="2"/>
        <v>CSLU1426586|46183|46243</v>
      </c>
      <c r="K60" t="str">
        <f t="shared" si="3"/>
        <v>CSLU1426586|20 FT|DRY|ZONA</v>
      </c>
    </row>
    <row r="61" spans="1:11" x14ac:dyDescent="0.2">
      <c r="A61">
        <v>60</v>
      </c>
      <c r="C61" t="s">
        <v>3</v>
      </c>
      <c r="D61" s="1">
        <v>3001238</v>
      </c>
      <c r="E61" t="s">
        <v>149</v>
      </c>
      <c r="F61" s="2">
        <v>45889</v>
      </c>
      <c r="G61" s="2">
        <v>46224</v>
      </c>
      <c r="I61">
        <f t="shared" si="1"/>
        <v>7</v>
      </c>
      <c r="J61" t="str">
        <f t="shared" si="2"/>
        <v>MSKU3001238|45889|46224</v>
      </c>
      <c r="K61" t="str">
        <f t="shared" si="3"/>
        <v>MSKU3001238|20 FT|DRY|ZONA</v>
      </c>
    </row>
    <row r="62" spans="1:11" x14ac:dyDescent="0.2">
      <c r="A62">
        <v>61</v>
      </c>
      <c r="C62" t="s">
        <v>10</v>
      </c>
      <c r="D62" s="1">
        <v>1192163</v>
      </c>
      <c r="E62" t="s">
        <v>149</v>
      </c>
      <c r="F62" s="2">
        <v>45889</v>
      </c>
      <c r="I62">
        <f t="shared" si="1"/>
        <v>7</v>
      </c>
      <c r="J62" t="str">
        <f t="shared" si="2"/>
        <v>OOLU1192163|45889|</v>
      </c>
      <c r="K62" t="str">
        <f t="shared" si="3"/>
        <v>OOLU1192163|20 FT|DRY|ZONA</v>
      </c>
    </row>
    <row r="63" spans="1:11" x14ac:dyDescent="0.2">
      <c r="A63">
        <v>62</v>
      </c>
      <c r="C63" t="s">
        <v>33</v>
      </c>
      <c r="D63" s="1">
        <v>2857756</v>
      </c>
      <c r="E63" t="s">
        <v>149</v>
      </c>
      <c r="F63" s="2">
        <v>45888</v>
      </c>
      <c r="I63">
        <f t="shared" si="1"/>
        <v>7</v>
      </c>
      <c r="J63" t="str">
        <f t="shared" si="2"/>
        <v>CAIU2857756|45888|</v>
      </c>
      <c r="K63" t="str">
        <f t="shared" si="3"/>
        <v>CAIU2857756|20 FT|DRY|ZONA</v>
      </c>
    </row>
    <row r="64" spans="1:11" x14ac:dyDescent="0.2">
      <c r="A64">
        <v>63</v>
      </c>
      <c r="C64" t="s">
        <v>5</v>
      </c>
      <c r="D64" s="1">
        <v>2794648</v>
      </c>
      <c r="E64" t="s">
        <v>149</v>
      </c>
      <c r="F64" s="2">
        <v>45888</v>
      </c>
      <c r="I64">
        <f t="shared" si="1"/>
        <v>7</v>
      </c>
      <c r="J64" t="str">
        <f t="shared" si="2"/>
        <v>TGHU2794648|45888|</v>
      </c>
      <c r="K64" t="str">
        <f t="shared" si="3"/>
        <v>TGHU2794648|20 FT|DRY|ZONA</v>
      </c>
    </row>
    <row r="65" spans="1:11" x14ac:dyDescent="0.2">
      <c r="A65">
        <v>64</v>
      </c>
      <c r="C65" t="s">
        <v>30</v>
      </c>
      <c r="D65" s="1">
        <v>1032520</v>
      </c>
      <c r="E65" t="s">
        <v>149</v>
      </c>
      <c r="F65" s="2">
        <v>45885</v>
      </c>
      <c r="G65" s="2">
        <v>46182</v>
      </c>
      <c r="I65">
        <f t="shared" si="1"/>
        <v>7</v>
      </c>
      <c r="J65" t="str">
        <f t="shared" si="2"/>
        <v>CSLU1032520|45885|46182</v>
      </c>
      <c r="K65" t="str">
        <f t="shared" si="3"/>
        <v>CSLU1032520|20 FT|DRY|ZONA</v>
      </c>
    </row>
    <row r="66" spans="1:11" x14ac:dyDescent="0.2">
      <c r="A66">
        <v>65</v>
      </c>
      <c r="C66" t="s">
        <v>29</v>
      </c>
      <c r="D66" s="1">
        <v>3112086</v>
      </c>
      <c r="E66" t="s">
        <v>149</v>
      </c>
      <c r="F66" s="2">
        <v>45888</v>
      </c>
      <c r="G66" s="2">
        <v>46231</v>
      </c>
      <c r="I66">
        <f t="shared" si="1"/>
        <v>7</v>
      </c>
      <c r="J66" t="str">
        <f t="shared" si="2"/>
        <v>CRXU3112086|45888|46231</v>
      </c>
      <c r="K66" t="str">
        <f t="shared" si="3"/>
        <v>CRXU3112086|20 FT|DRY|ZONA</v>
      </c>
    </row>
    <row r="67" spans="1:11" x14ac:dyDescent="0.2">
      <c r="A67">
        <v>66</v>
      </c>
      <c r="C67" t="s">
        <v>11</v>
      </c>
      <c r="D67" s="1">
        <v>2722517</v>
      </c>
      <c r="E67" t="s">
        <v>149</v>
      </c>
      <c r="F67" s="2">
        <v>45888</v>
      </c>
      <c r="G67" s="2">
        <v>46220</v>
      </c>
      <c r="I67">
        <f t="shared" ref="I67:I130" si="4">LEN(D67)</f>
        <v>7</v>
      </c>
      <c r="J67" t="str">
        <f t="shared" ref="J67:J130" si="5">C67&amp;D67&amp;"|"&amp;F67&amp;"|"&amp;G67</f>
        <v>TEMU2722517|45888|46220</v>
      </c>
      <c r="K67" t="str">
        <f t="shared" si="3"/>
        <v>TEMU2722517|20 FT|DRY|ZONA</v>
      </c>
    </row>
    <row r="68" spans="1:11" x14ac:dyDescent="0.2">
      <c r="A68">
        <v>67</v>
      </c>
      <c r="C68" t="s">
        <v>5</v>
      </c>
      <c r="D68" s="1">
        <v>1849896</v>
      </c>
      <c r="E68" t="s">
        <v>149</v>
      </c>
      <c r="F68" s="2">
        <v>45889</v>
      </c>
      <c r="G68" s="2">
        <v>46224</v>
      </c>
      <c r="I68">
        <f t="shared" si="4"/>
        <v>7</v>
      </c>
      <c r="J68" t="str">
        <f t="shared" si="5"/>
        <v>TGHU1849896|45889|46224</v>
      </c>
      <c r="K68" t="str">
        <f t="shared" si="3"/>
        <v>TGHU1849896|20 FT|DRY|ZONA</v>
      </c>
    </row>
    <row r="69" spans="1:11" x14ac:dyDescent="0.2">
      <c r="A69">
        <v>68</v>
      </c>
      <c r="C69" t="s">
        <v>5</v>
      </c>
      <c r="D69" s="1">
        <v>3067258</v>
      </c>
      <c r="E69" t="s">
        <v>149</v>
      </c>
      <c r="F69" s="2">
        <v>45889</v>
      </c>
      <c r="G69" s="2">
        <v>46029</v>
      </c>
      <c r="I69">
        <f t="shared" si="4"/>
        <v>7</v>
      </c>
      <c r="J69" t="str">
        <f t="shared" si="5"/>
        <v>TGHU3067258|45889|46029</v>
      </c>
      <c r="K69" t="str">
        <f t="shared" si="3"/>
        <v>TGHU3067258|20 FT|DRY|ZONA</v>
      </c>
    </row>
    <row r="70" spans="1:11" x14ac:dyDescent="0.2">
      <c r="A70">
        <v>69</v>
      </c>
      <c r="C70" t="s">
        <v>14</v>
      </c>
      <c r="D70" s="1" t="s">
        <v>35</v>
      </c>
      <c r="E70" t="s">
        <v>149</v>
      </c>
      <c r="F70" s="2">
        <v>45889</v>
      </c>
      <c r="I70">
        <f t="shared" si="4"/>
        <v>7</v>
      </c>
      <c r="J70" t="str">
        <f t="shared" si="5"/>
        <v>WHLU0268015|45889|</v>
      </c>
      <c r="K70" t="str">
        <f t="shared" si="3"/>
        <v>WHLU0268015|20 FT|DRY|ZONA</v>
      </c>
    </row>
    <row r="71" spans="1:11" x14ac:dyDescent="0.2">
      <c r="A71">
        <v>70</v>
      </c>
      <c r="C71" t="s">
        <v>20</v>
      </c>
      <c r="D71" s="1">
        <v>9703366</v>
      </c>
      <c r="E71" t="s">
        <v>149</v>
      </c>
      <c r="F71" s="2">
        <v>45889</v>
      </c>
      <c r="G71" s="2">
        <v>46029</v>
      </c>
      <c r="I71">
        <f t="shared" si="4"/>
        <v>7</v>
      </c>
      <c r="J71" t="str">
        <f t="shared" si="5"/>
        <v>GLDU9703366|45889|46029</v>
      </c>
      <c r="K71" t="str">
        <f t="shared" si="3"/>
        <v>GLDU9703366|20 FT|DRY|ZONA</v>
      </c>
    </row>
    <row r="72" spans="1:11" x14ac:dyDescent="0.2">
      <c r="A72">
        <v>71</v>
      </c>
      <c r="C72" t="s">
        <v>25</v>
      </c>
      <c r="D72" s="1">
        <v>2290982</v>
      </c>
      <c r="E72" t="s">
        <v>149</v>
      </c>
      <c r="F72" s="2">
        <v>45889</v>
      </c>
      <c r="G72" s="2">
        <v>46259</v>
      </c>
      <c r="I72">
        <f t="shared" si="4"/>
        <v>7</v>
      </c>
      <c r="J72" t="str">
        <f t="shared" si="5"/>
        <v>DRYU2290982|45889|46259</v>
      </c>
      <c r="K72" t="str">
        <f t="shared" si="3"/>
        <v>DRYU2290982|20 FT|DRY|ZONA</v>
      </c>
    </row>
    <row r="73" spans="1:11" x14ac:dyDescent="0.2">
      <c r="A73">
        <v>72</v>
      </c>
      <c r="C73" t="s">
        <v>11</v>
      </c>
      <c r="D73" s="1">
        <v>2705206</v>
      </c>
      <c r="E73" t="s">
        <v>149</v>
      </c>
      <c r="F73" s="2">
        <v>45889</v>
      </c>
      <c r="I73">
        <f t="shared" si="4"/>
        <v>7</v>
      </c>
      <c r="J73" t="str">
        <f t="shared" si="5"/>
        <v>TEMU2705206|45889|</v>
      </c>
      <c r="K73" t="str">
        <f t="shared" si="3"/>
        <v>TEMU2705206|20 FT|DRY|ZONA</v>
      </c>
    </row>
    <row r="74" spans="1:11" x14ac:dyDescent="0.2">
      <c r="A74">
        <v>73</v>
      </c>
      <c r="C74" t="s">
        <v>10</v>
      </c>
      <c r="D74" s="1">
        <v>1277580</v>
      </c>
      <c r="E74" t="s">
        <v>149</v>
      </c>
      <c r="F74" s="2">
        <v>45889</v>
      </c>
      <c r="G74" s="2">
        <v>46241</v>
      </c>
      <c r="I74">
        <f t="shared" si="4"/>
        <v>7</v>
      </c>
      <c r="J74" t="str">
        <f t="shared" si="5"/>
        <v>OOLU1277580|45889|46241</v>
      </c>
      <c r="K74" t="str">
        <f t="shared" si="3"/>
        <v>OOLU1277580|20 FT|DRY|ZONA</v>
      </c>
    </row>
    <row r="75" spans="1:11" x14ac:dyDescent="0.2">
      <c r="A75">
        <v>74</v>
      </c>
      <c r="C75" t="s">
        <v>36</v>
      </c>
      <c r="D75" s="1">
        <v>1107648</v>
      </c>
      <c r="E75" t="s">
        <v>149</v>
      </c>
      <c r="F75" s="2">
        <v>45889</v>
      </c>
      <c r="G75" s="2">
        <v>46030</v>
      </c>
      <c r="I75">
        <f t="shared" si="4"/>
        <v>7</v>
      </c>
      <c r="J75" t="str">
        <f t="shared" si="5"/>
        <v>CXDU1107648|45889|46030</v>
      </c>
      <c r="K75" t="str">
        <f t="shared" si="3"/>
        <v>CXDU1107648|20 FT|DRY|ZONA</v>
      </c>
    </row>
    <row r="76" spans="1:11" x14ac:dyDescent="0.2">
      <c r="A76">
        <v>75</v>
      </c>
      <c r="C76" t="s">
        <v>11</v>
      </c>
      <c r="D76" s="1">
        <v>2700586</v>
      </c>
      <c r="E76" t="s">
        <v>149</v>
      </c>
      <c r="F76" s="2">
        <v>45890</v>
      </c>
      <c r="G76" s="2">
        <v>46031</v>
      </c>
      <c r="I76">
        <f t="shared" si="4"/>
        <v>7</v>
      </c>
      <c r="J76" t="str">
        <f t="shared" si="5"/>
        <v>TEMU2700586|45890|46031</v>
      </c>
      <c r="K76" t="str">
        <f t="shared" ref="K76:K139" si="6">C76&amp;D76&amp;"|"&amp;E76&amp;"|"&amp;"DRY"&amp;"|"&amp;"ZONA"</f>
        <v>TEMU2700586|20 FT|DRY|ZONA</v>
      </c>
    </row>
    <row r="77" spans="1:11" x14ac:dyDescent="0.2">
      <c r="A77">
        <v>76</v>
      </c>
      <c r="C77" t="s">
        <v>37</v>
      </c>
      <c r="D77" s="1">
        <v>2947519</v>
      </c>
      <c r="E77" t="s">
        <v>149</v>
      </c>
      <c r="F77" s="2">
        <v>45890</v>
      </c>
      <c r="I77">
        <f t="shared" si="4"/>
        <v>7</v>
      </c>
      <c r="J77" t="str">
        <f t="shared" si="5"/>
        <v>SIKU2947519|45890|</v>
      </c>
      <c r="K77" t="str">
        <f t="shared" si="6"/>
        <v>SIKU2947519|20 FT|DRY|ZONA</v>
      </c>
    </row>
    <row r="78" spans="1:11" x14ac:dyDescent="0.2">
      <c r="A78">
        <v>77</v>
      </c>
      <c r="C78" t="s">
        <v>11</v>
      </c>
      <c r="D78" s="1">
        <v>2786023</v>
      </c>
      <c r="E78" t="s">
        <v>149</v>
      </c>
      <c r="F78" s="2">
        <v>45889</v>
      </c>
      <c r="G78" s="2">
        <v>46199</v>
      </c>
      <c r="I78">
        <f t="shared" si="4"/>
        <v>7</v>
      </c>
      <c r="J78" t="str">
        <f t="shared" si="5"/>
        <v>TEMU2786023|45889|46199</v>
      </c>
      <c r="K78" t="str">
        <f t="shared" si="6"/>
        <v>TEMU2786023|20 FT|DRY|ZONA</v>
      </c>
    </row>
    <row r="79" spans="1:11" x14ac:dyDescent="0.2">
      <c r="A79">
        <v>78</v>
      </c>
      <c r="C79" t="s">
        <v>38</v>
      </c>
      <c r="D79" s="1">
        <v>3610576</v>
      </c>
      <c r="E79" t="s">
        <v>149</v>
      </c>
      <c r="F79" s="2">
        <v>45890</v>
      </c>
      <c r="G79" s="2">
        <v>46250</v>
      </c>
      <c r="I79">
        <f t="shared" si="4"/>
        <v>7</v>
      </c>
      <c r="J79" t="str">
        <f t="shared" si="5"/>
        <v>TRLU3610576|45890|46250</v>
      </c>
      <c r="K79" t="str">
        <f t="shared" si="6"/>
        <v>TRLU3610576|20 FT|DRY|ZONA</v>
      </c>
    </row>
    <row r="80" spans="1:11" x14ac:dyDescent="0.2">
      <c r="A80">
        <v>79</v>
      </c>
      <c r="C80" t="s">
        <v>36</v>
      </c>
      <c r="D80" s="1">
        <v>1212730</v>
      </c>
      <c r="E80" t="s">
        <v>149</v>
      </c>
      <c r="F80" s="2">
        <v>45889</v>
      </c>
      <c r="G80" s="2">
        <v>46241</v>
      </c>
      <c r="I80">
        <f t="shared" si="4"/>
        <v>7</v>
      </c>
      <c r="J80" t="str">
        <f t="shared" si="5"/>
        <v>CXDU1212730|45889|46241</v>
      </c>
      <c r="K80" t="str">
        <f t="shared" si="6"/>
        <v>CXDU1212730|20 FT|DRY|ZONA</v>
      </c>
    </row>
    <row r="81" spans="1:11" x14ac:dyDescent="0.2">
      <c r="A81">
        <v>80</v>
      </c>
      <c r="C81" t="s">
        <v>31</v>
      </c>
      <c r="D81" s="1">
        <v>3714765</v>
      </c>
      <c r="E81" t="s">
        <v>149</v>
      </c>
      <c r="F81" s="2">
        <v>45889</v>
      </c>
      <c r="I81">
        <f t="shared" si="4"/>
        <v>7</v>
      </c>
      <c r="J81" t="str">
        <f t="shared" si="5"/>
        <v>CCLU3714765|45889|</v>
      </c>
      <c r="K81" t="str">
        <f t="shared" si="6"/>
        <v>CCLU3714765|20 FT|DRY|ZONA</v>
      </c>
    </row>
    <row r="82" spans="1:11" x14ac:dyDescent="0.2">
      <c r="A82">
        <v>81</v>
      </c>
      <c r="C82" t="s">
        <v>23</v>
      </c>
      <c r="D82" s="1">
        <v>6045503</v>
      </c>
      <c r="E82" t="s">
        <v>149</v>
      </c>
      <c r="F82" s="2">
        <v>45890</v>
      </c>
      <c r="G82" s="2">
        <v>46231</v>
      </c>
      <c r="I82">
        <f t="shared" si="4"/>
        <v>7</v>
      </c>
      <c r="J82" t="str">
        <f t="shared" si="5"/>
        <v>EMCU6045503|45890|46231</v>
      </c>
      <c r="K82" t="str">
        <f t="shared" si="6"/>
        <v>EMCU6045503|20 FT|DRY|ZONA</v>
      </c>
    </row>
    <row r="83" spans="1:11" x14ac:dyDescent="0.2">
      <c r="A83">
        <v>82</v>
      </c>
      <c r="C83" t="s">
        <v>39</v>
      </c>
      <c r="D83" s="1">
        <v>3881939</v>
      </c>
      <c r="E83" t="s">
        <v>149</v>
      </c>
      <c r="F83" s="2">
        <v>45890</v>
      </c>
      <c r="G83" s="2">
        <v>46252</v>
      </c>
      <c r="I83">
        <f t="shared" si="4"/>
        <v>7</v>
      </c>
      <c r="J83" t="str">
        <f t="shared" si="5"/>
        <v>APZU3881939|45890|46252</v>
      </c>
      <c r="K83" t="str">
        <f t="shared" si="6"/>
        <v>APZU3881939|20 FT|DRY|ZONA</v>
      </c>
    </row>
    <row r="84" spans="1:11" x14ac:dyDescent="0.2">
      <c r="A84">
        <v>83</v>
      </c>
      <c r="C84" t="s">
        <v>40</v>
      </c>
      <c r="D84" s="1">
        <v>2915950</v>
      </c>
      <c r="E84" t="s">
        <v>149</v>
      </c>
      <c r="F84" s="2">
        <v>45890</v>
      </c>
      <c r="I84">
        <f t="shared" si="4"/>
        <v>7</v>
      </c>
      <c r="J84" t="str">
        <f t="shared" si="5"/>
        <v>WLNU2915950|45890|</v>
      </c>
      <c r="K84" t="str">
        <f t="shared" si="6"/>
        <v>WLNU2915950|20 FT|DRY|ZONA</v>
      </c>
    </row>
    <row r="85" spans="1:11" x14ac:dyDescent="0.2">
      <c r="A85">
        <v>84</v>
      </c>
      <c r="C85" t="s">
        <v>10</v>
      </c>
      <c r="D85" s="1">
        <v>1340682</v>
      </c>
      <c r="E85" t="s">
        <v>149</v>
      </c>
      <c r="F85" s="2">
        <v>45890</v>
      </c>
      <c r="I85">
        <f t="shared" si="4"/>
        <v>7</v>
      </c>
      <c r="J85" t="str">
        <f t="shared" si="5"/>
        <v>OOLU1340682|45890|</v>
      </c>
      <c r="K85" t="str">
        <f t="shared" si="6"/>
        <v>OOLU1340682|20 FT|DRY|ZONA</v>
      </c>
    </row>
    <row r="86" spans="1:11" x14ac:dyDescent="0.2">
      <c r="A86">
        <v>85</v>
      </c>
      <c r="C86" t="s">
        <v>29</v>
      </c>
      <c r="D86" s="1">
        <v>3129324</v>
      </c>
      <c r="E86" t="s">
        <v>149</v>
      </c>
      <c r="F86" s="2">
        <v>45890</v>
      </c>
      <c r="I86">
        <f t="shared" si="4"/>
        <v>7</v>
      </c>
      <c r="J86" t="str">
        <f t="shared" si="5"/>
        <v>CRXU3129324|45890|</v>
      </c>
      <c r="K86" t="str">
        <f t="shared" si="6"/>
        <v>CRXU3129324|20 FT|DRY|ZONA</v>
      </c>
    </row>
    <row r="87" spans="1:11" x14ac:dyDescent="0.2">
      <c r="A87">
        <v>86</v>
      </c>
      <c r="C87" t="s">
        <v>5</v>
      </c>
      <c r="D87" s="1">
        <v>3903379</v>
      </c>
      <c r="E87" t="s">
        <v>149</v>
      </c>
      <c r="F87" s="2">
        <v>45890</v>
      </c>
      <c r="G87" s="2">
        <v>46221</v>
      </c>
      <c r="I87">
        <f t="shared" si="4"/>
        <v>7</v>
      </c>
      <c r="J87" t="str">
        <f t="shared" si="5"/>
        <v>TGHU3903379|45890|46221</v>
      </c>
      <c r="K87" t="str">
        <f t="shared" si="6"/>
        <v>TGHU3903379|20 FT|DRY|ZONA</v>
      </c>
    </row>
    <row r="88" spans="1:11" x14ac:dyDescent="0.2">
      <c r="A88">
        <v>87</v>
      </c>
      <c r="C88" t="s">
        <v>11</v>
      </c>
      <c r="D88" s="1">
        <v>2694966</v>
      </c>
      <c r="E88" t="s">
        <v>149</v>
      </c>
      <c r="F88" s="2">
        <v>45890</v>
      </c>
      <c r="G88" s="2">
        <v>46221</v>
      </c>
      <c r="I88">
        <f t="shared" si="4"/>
        <v>7</v>
      </c>
      <c r="J88" t="str">
        <f t="shared" si="5"/>
        <v>TEMU2694966|45890|46221</v>
      </c>
      <c r="K88" t="str">
        <f t="shared" si="6"/>
        <v>TEMU2694966|20 FT|DRY|ZONA</v>
      </c>
    </row>
    <row r="89" spans="1:11" x14ac:dyDescent="0.2">
      <c r="A89">
        <v>88</v>
      </c>
      <c r="C89" t="s">
        <v>5</v>
      </c>
      <c r="D89" s="1">
        <v>1246275</v>
      </c>
      <c r="E89" t="s">
        <v>149</v>
      </c>
      <c r="F89" s="2">
        <v>45890</v>
      </c>
      <c r="I89">
        <f t="shared" si="4"/>
        <v>7</v>
      </c>
      <c r="J89" t="str">
        <f t="shared" si="5"/>
        <v>TGHU1246275|45890|</v>
      </c>
      <c r="K89" t="str">
        <f t="shared" si="6"/>
        <v>TGHU1246275|20 FT|DRY|ZONA</v>
      </c>
    </row>
    <row r="90" spans="1:11" x14ac:dyDescent="0.2">
      <c r="A90">
        <v>89</v>
      </c>
      <c r="C90" t="s">
        <v>10</v>
      </c>
      <c r="D90" s="1">
        <v>1740673</v>
      </c>
      <c r="E90" t="s">
        <v>149</v>
      </c>
      <c r="F90" s="2">
        <v>45892</v>
      </c>
      <c r="G90" s="2">
        <v>46259</v>
      </c>
      <c r="I90">
        <f t="shared" si="4"/>
        <v>7</v>
      </c>
      <c r="J90" t="str">
        <f t="shared" si="5"/>
        <v>OOLU1740673|45892|46259</v>
      </c>
      <c r="K90" t="str">
        <f t="shared" si="6"/>
        <v>OOLU1740673|20 FT|DRY|ZONA</v>
      </c>
    </row>
    <row r="91" spans="1:11" x14ac:dyDescent="0.2">
      <c r="A91">
        <v>90</v>
      </c>
      <c r="C91" t="s">
        <v>13</v>
      </c>
      <c r="D91" s="1">
        <v>4075632</v>
      </c>
      <c r="E91" t="s">
        <v>149</v>
      </c>
      <c r="F91" s="2">
        <v>45891</v>
      </c>
      <c r="I91">
        <f t="shared" si="4"/>
        <v>7</v>
      </c>
      <c r="J91" t="str">
        <f t="shared" si="5"/>
        <v>CBHU4075632|45891|</v>
      </c>
      <c r="K91" t="str">
        <f t="shared" si="6"/>
        <v>CBHU4075632|20 FT|DRY|ZONA</v>
      </c>
    </row>
    <row r="92" spans="1:11" x14ac:dyDescent="0.2">
      <c r="A92">
        <v>91</v>
      </c>
      <c r="C92" t="s">
        <v>21</v>
      </c>
      <c r="D92" s="1">
        <v>3619236</v>
      </c>
      <c r="E92" t="s">
        <v>149</v>
      </c>
      <c r="F92" s="2">
        <v>45891</v>
      </c>
      <c r="I92">
        <f t="shared" si="4"/>
        <v>7</v>
      </c>
      <c r="J92" t="str">
        <f t="shared" si="5"/>
        <v>PCIU3619236|45891|</v>
      </c>
      <c r="K92" t="str">
        <f t="shared" si="6"/>
        <v>PCIU3619236|20 FT|DRY|ZONA</v>
      </c>
    </row>
    <row r="93" spans="1:11" x14ac:dyDescent="0.2">
      <c r="A93">
        <v>92</v>
      </c>
      <c r="C93" t="s">
        <v>10</v>
      </c>
      <c r="D93" s="1">
        <v>1344760</v>
      </c>
      <c r="E93" t="s">
        <v>149</v>
      </c>
      <c r="F93" s="2">
        <v>45891</v>
      </c>
      <c r="G93" s="2">
        <v>46242</v>
      </c>
      <c r="I93">
        <f t="shared" si="4"/>
        <v>7</v>
      </c>
      <c r="J93" t="str">
        <f t="shared" si="5"/>
        <v>OOLU1344760|45891|46242</v>
      </c>
      <c r="K93" t="str">
        <f t="shared" si="6"/>
        <v>OOLU1344760|20 FT|DRY|ZONA</v>
      </c>
    </row>
    <row r="94" spans="1:11" x14ac:dyDescent="0.2">
      <c r="A94">
        <v>93</v>
      </c>
      <c r="C94" t="s">
        <v>41</v>
      </c>
      <c r="D94" s="1">
        <v>2715582</v>
      </c>
      <c r="E94" t="s">
        <v>149</v>
      </c>
      <c r="F94" s="2">
        <v>45931</v>
      </c>
      <c r="G94" s="2">
        <v>46254</v>
      </c>
      <c r="I94">
        <f t="shared" si="4"/>
        <v>7</v>
      </c>
      <c r="J94" t="str">
        <f t="shared" si="5"/>
        <v>BMOU2715582|45931|46254</v>
      </c>
      <c r="K94" t="str">
        <f t="shared" si="6"/>
        <v>BMOU2715582|20 FT|DRY|ZONA</v>
      </c>
    </row>
    <row r="95" spans="1:11" x14ac:dyDescent="0.2">
      <c r="A95">
        <v>94</v>
      </c>
      <c r="C95" t="s">
        <v>10</v>
      </c>
      <c r="D95" s="1">
        <v>1411889</v>
      </c>
      <c r="E95" t="s">
        <v>149</v>
      </c>
      <c r="F95" s="2">
        <v>45931</v>
      </c>
      <c r="I95">
        <f t="shared" si="4"/>
        <v>7</v>
      </c>
      <c r="J95" t="str">
        <f t="shared" si="5"/>
        <v>OOLU1411889|45931|</v>
      </c>
      <c r="K95" t="str">
        <f t="shared" si="6"/>
        <v>OOLU1411889|20 FT|DRY|ZONA</v>
      </c>
    </row>
    <row r="96" spans="1:11" x14ac:dyDescent="0.2">
      <c r="A96">
        <v>95</v>
      </c>
      <c r="C96" t="s">
        <v>10</v>
      </c>
      <c r="D96" s="1">
        <v>1403137</v>
      </c>
      <c r="E96" t="s">
        <v>149</v>
      </c>
      <c r="F96" s="2">
        <v>45931</v>
      </c>
      <c r="I96">
        <f t="shared" si="4"/>
        <v>7</v>
      </c>
      <c r="J96" t="str">
        <f t="shared" si="5"/>
        <v>OOLU1403137|45931|</v>
      </c>
      <c r="K96" t="str">
        <f t="shared" si="6"/>
        <v>OOLU1403137|20 FT|DRY|ZONA</v>
      </c>
    </row>
    <row r="97" spans="1:11" x14ac:dyDescent="0.2">
      <c r="A97">
        <v>96</v>
      </c>
      <c r="C97" t="s">
        <v>9</v>
      </c>
      <c r="D97" s="1">
        <v>4398459</v>
      </c>
      <c r="E97" t="s">
        <v>149</v>
      </c>
      <c r="F97" s="2">
        <v>45931</v>
      </c>
      <c r="G97" s="2">
        <v>46254</v>
      </c>
      <c r="I97">
        <f t="shared" si="4"/>
        <v>7</v>
      </c>
      <c r="J97" t="str">
        <f t="shared" si="5"/>
        <v>FCIU4398459|45931|46254</v>
      </c>
      <c r="K97" t="str">
        <f t="shared" si="6"/>
        <v>FCIU4398459|20 FT|DRY|ZONA</v>
      </c>
    </row>
    <row r="98" spans="1:11" x14ac:dyDescent="0.2">
      <c r="A98">
        <v>97</v>
      </c>
      <c r="C98" t="s">
        <v>34</v>
      </c>
      <c r="D98" s="1">
        <v>3047063</v>
      </c>
      <c r="E98" t="s">
        <v>149</v>
      </c>
      <c r="F98" s="2">
        <v>45931</v>
      </c>
      <c r="I98">
        <f t="shared" si="4"/>
        <v>7</v>
      </c>
      <c r="J98" t="str">
        <f t="shared" si="5"/>
        <v>SEGU3047063|45931|</v>
      </c>
      <c r="K98" t="str">
        <f t="shared" si="6"/>
        <v>SEGU3047063|20 FT|DRY|ZONA</v>
      </c>
    </row>
    <row r="99" spans="1:11" x14ac:dyDescent="0.2">
      <c r="A99">
        <v>98</v>
      </c>
      <c r="C99" t="s">
        <v>41</v>
      </c>
      <c r="D99" s="1">
        <v>4857328</v>
      </c>
      <c r="E99" t="s">
        <v>134</v>
      </c>
      <c r="F99" s="2">
        <v>45931</v>
      </c>
      <c r="G99" s="2">
        <v>46029</v>
      </c>
      <c r="I99">
        <f t="shared" si="4"/>
        <v>7</v>
      </c>
      <c r="J99" t="str">
        <f t="shared" si="5"/>
        <v>BMOU4857328|45931|46029</v>
      </c>
      <c r="K99" t="str">
        <f t="shared" si="6"/>
        <v>BMOU4857328|40 FT|DRY|ZONA</v>
      </c>
    </row>
    <row r="100" spans="1:11" x14ac:dyDescent="0.2">
      <c r="A100">
        <v>99</v>
      </c>
      <c r="C100" t="s">
        <v>10</v>
      </c>
      <c r="D100" s="1">
        <v>1612414</v>
      </c>
      <c r="E100" t="s">
        <v>149</v>
      </c>
      <c r="F100" s="2">
        <v>45931</v>
      </c>
      <c r="I100">
        <f t="shared" si="4"/>
        <v>7</v>
      </c>
      <c r="J100" t="str">
        <f t="shared" si="5"/>
        <v>OOLU1612414|45931|</v>
      </c>
      <c r="K100" t="str">
        <f t="shared" si="6"/>
        <v>OOLU1612414|20 FT|DRY|ZONA</v>
      </c>
    </row>
    <row r="101" spans="1:11" x14ac:dyDescent="0.2">
      <c r="A101">
        <v>100</v>
      </c>
      <c r="C101" t="s">
        <v>29</v>
      </c>
      <c r="D101" s="1">
        <v>1274494</v>
      </c>
      <c r="E101" t="s">
        <v>149</v>
      </c>
      <c r="F101" s="2">
        <v>45932</v>
      </c>
      <c r="I101">
        <f t="shared" si="4"/>
        <v>7</v>
      </c>
      <c r="J101" t="str">
        <f t="shared" si="5"/>
        <v>CRXU1274494|45932|</v>
      </c>
      <c r="K101" t="str">
        <f t="shared" si="6"/>
        <v>CRXU1274494|20 FT|DRY|ZONA</v>
      </c>
    </row>
    <row r="102" spans="1:11" x14ac:dyDescent="0.2">
      <c r="A102">
        <v>101</v>
      </c>
      <c r="C102" t="s">
        <v>42</v>
      </c>
      <c r="D102" s="1">
        <v>1381554</v>
      </c>
      <c r="E102" t="s">
        <v>149</v>
      </c>
      <c r="F102" s="2">
        <v>45931</v>
      </c>
      <c r="I102">
        <f t="shared" si="4"/>
        <v>7</v>
      </c>
      <c r="J102" t="str">
        <f t="shared" si="5"/>
        <v>HJLU1381554|45931|</v>
      </c>
      <c r="K102" t="str">
        <f t="shared" si="6"/>
        <v>HJLU1381554|20 FT|DRY|ZONA</v>
      </c>
    </row>
    <row r="103" spans="1:11" x14ac:dyDescent="0.2">
      <c r="A103">
        <v>102</v>
      </c>
      <c r="C103" t="s">
        <v>14</v>
      </c>
      <c r="D103" s="1" t="s">
        <v>43</v>
      </c>
      <c r="E103" t="s">
        <v>149</v>
      </c>
      <c r="F103" s="2">
        <v>45931</v>
      </c>
      <c r="G103" s="2">
        <v>46243</v>
      </c>
      <c r="I103">
        <f t="shared" si="4"/>
        <v>7</v>
      </c>
      <c r="J103" t="str">
        <f t="shared" si="5"/>
        <v>WHLU0249308|45931|46243</v>
      </c>
      <c r="K103" t="str">
        <f t="shared" si="6"/>
        <v>WHLU0249308|20 FT|DRY|ZONA</v>
      </c>
    </row>
    <row r="104" spans="1:11" x14ac:dyDescent="0.2">
      <c r="A104">
        <v>103</v>
      </c>
      <c r="C104" t="s">
        <v>10</v>
      </c>
      <c r="D104" s="1">
        <v>1158765</v>
      </c>
      <c r="E104" t="s">
        <v>149</v>
      </c>
      <c r="F104" s="2">
        <v>45931</v>
      </c>
      <c r="I104">
        <f t="shared" si="4"/>
        <v>7</v>
      </c>
      <c r="J104" t="str">
        <f t="shared" si="5"/>
        <v>OOLU1158765|45931|</v>
      </c>
      <c r="K104" t="str">
        <f t="shared" si="6"/>
        <v>OOLU1158765|20 FT|DRY|ZONA</v>
      </c>
    </row>
    <row r="105" spans="1:11" x14ac:dyDescent="0.2">
      <c r="A105">
        <v>104</v>
      </c>
      <c r="C105" t="s">
        <v>10</v>
      </c>
      <c r="D105" s="1">
        <v>1572688</v>
      </c>
      <c r="E105" t="s">
        <v>149</v>
      </c>
      <c r="F105" s="2">
        <v>45931</v>
      </c>
      <c r="I105">
        <f t="shared" si="4"/>
        <v>7</v>
      </c>
      <c r="J105" t="str">
        <f t="shared" si="5"/>
        <v>OOLU1572688|45931|</v>
      </c>
      <c r="K105" t="str">
        <f t="shared" si="6"/>
        <v>OOLU1572688|20 FT|DRY|ZONA</v>
      </c>
    </row>
    <row r="106" spans="1:11" x14ac:dyDescent="0.2">
      <c r="A106">
        <v>105</v>
      </c>
      <c r="C106" t="s">
        <v>5</v>
      </c>
      <c r="D106" s="1">
        <v>3117301</v>
      </c>
      <c r="E106" t="s">
        <v>149</v>
      </c>
      <c r="F106" s="2">
        <v>45932</v>
      </c>
      <c r="G106" s="2">
        <v>46243</v>
      </c>
      <c r="I106">
        <f t="shared" si="4"/>
        <v>7</v>
      </c>
      <c r="J106" t="str">
        <f t="shared" si="5"/>
        <v>TGHU3117301|45932|46243</v>
      </c>
      <c r="K106" t="str">
        <f t="shared" si="6"/>
        <v>TGHU3117301|20 FT|DRY|ZONA</v>
      </c>
    </row>
    <row r="107" spans="1:11" x14ac:dyDescent="0.2">
      <c r="A107">
        <v>106</v>
      </c>
      <c r="C107" t="s">
        <v>5</v>
      </c>
      <c r="D107" s="1" t="s">
        <v>44</v>
      </c>
      <c r="E107" t="s">
        <v>149</v>
      </c>
      <c r="F107" s="2">
        <v>45932</v>
      </c>
      <c r="G107" s="2">
        <v>46032</v>
      </c>
      <c r="I107">
        <f t="shared" si="4"/>
        <v>7</v>
      </c>
      <c r="J107" t="str">
        <f t="shared" si="5"/>
        <v>TGHU0115584|45932|46032</v>
      </c>
      <c r="K107" t="str">
        <f t="shared" si="6"/>
        <v>TGHU0115584|20 FT|DRY|ZONA</v>
      </c>
    </row>
    <row r="108" spans="1:11" x14ac:dyDescent="0.2">
      <c r="A108">
        <v>107</v>
      </c>
      <c r="C108" t="s">
        <v>14</v>
      </c>
      <c r="D108" s="1" t="s">
        <v>45</v>
      </c>
      <c r="E108" t="s">
        <v>149</v>
      </c>
      <c r="F108" s="2">
        <v>45932</v>
      </c>
      <c r="G108" s="2">
        <v>46254</v>
      </c>
      <c r="I108">
        <f t="shared" si="4"/>
        <v>7</v>
      </c>
      <c r="J108" t="str">
        <f t="shared" si="5"/>
        <v>WHLU0321315|45932|46254</v>
      </c>
      <c r="K108" t="str">
        <f t="shared" si="6"/>
        <v>WHLU0321315|20 FT|DRY|ZONA</v>
      </c>
    </row>
    <row r="109" spans="1:11" x14ac:dyDescent="0.2">
      <c r="A109">
        <v>108</v>
      </c>
      <c r="C109" t="s">
        <v>46</v>
      </c>
      <c r="D109" s="1">
        <v>8366998</v>
      </c>
      <c r="E109" t="s">
        <v>149</v>
      </c>
      <c r="F109" s="2">
        <v>45932</v>
      </c>
      <c r="G109" s="2">
        <v>46231</v>
      </c>
      <c r="I109">
        <f t="shared" si="4"/>
        <v>7</v>
      </c>
      <c r="J109" t="str">
        <f t="shared" si="5"/>
        <v>HJCU8366998|45932|46231</v>
      </c>
      <c r="K109" t="str">
        <f t="shared" si="6"/>
        <v>HJCU8366998|20 FT|DRY|ZONA</v>
      </c>
    </row>
    <row r="110" spans="1:11" x14ac:dyDescent="0.2">
      <c r="A110">
        <v>109</v>
      </c>
      <c r="C110" t="s">
        <v>47</v>
      </c>
      <c r="D110" s="1">
        <v>3219902</v>
      </c>
      <c r="E110" t="s">
        <v>149</v>
      </c>
      <c r="F110" s="2">
        <v>45887</v>
      </c>
      <c r="G110" s="2">
        <v>46242</v>
      </c>
      <c r="I110">
        <f t="shared" si="4"/>
        <v>7</v>
      </c>
      <c r="J110" t="str">
        <f t="shared" si="5"/>
        <v>IPXU3219902|45887|46242</v>
      </c>
      <c r="K110" t="str">
        <f t="shared" si="6"/>
        <v>IPXU3219902|20 FT|DRY|ZONA</v>
      </c>
    </row>
    <row r="111" spans="1:11" x14ac:dyDescent="0.2">
      <c r="A111">
        <v>110</v>
      </c>
      <c r="C111" t="s">
        <v>48</v>
      </c>
      <c r="D111" s="1">
        <v>3062032</v>
      </c>
      <c r="E111" t="s">
        <v>149</v>
      </c>
      <c r="F111" s="2">
        <v>45885</v>
      </c>
      <c r="G111" s="2">
        <v>46259</v>
      </c>
      <c r="I111">
        <f t="shared" si="4"/>
        <v>7</v>
      </c>
      <c r="J111" t="str">
        <f t="shared" si="5"/>
        <v>HMCU3062032|45885|46259</v>
      </c>
      <c r="K111" t="str">
        <f t="shared" si="6"/>
        <v>HMCU3062032|20 FT|DRY|ZONA</v>
      </c>
    </row>
    <row r="112" spans="1:11" x14ac:dyDescent="0.2">
      <c r="A112">
        <v>111</v>
      </c>
      <c r="C112" t="s">
        <v>49</v>
      </c>
      <c r="D112" s="1" t="s">
        <v>50</v>
      </c>
      <c r="E112" t="s">
        <v>149</v>
      </c>
      <c r="F112" s="2">
        <v>45885</v>
      </c>
      <c r="G112" s="2">
        <v>46030</v>
      </c>
      <c r="I112">
        <f t="shared" si="4"/>
        <v>7</v>
      </c>
      <c r="J112" t="str">
        <f t="shared" si="5"/>
        <v>ZONA9900166|45885|46030</v>
      </c>
      <c r="K112" t="str">
        <f t="shared" si="6"/>
        <v>ZONA9900166|20 FT|DRY|ZONA</v>
      </c>
    </row>
    <row r="113" spans="1:11" x14ac:dyDescent="0.2">
      <c r="A113">
        <v>112</v>
      </c>
      <c r="C113" t="s">
        <v>28</v>
      </c>
      <c r="D113" s="1">
        <v>2119067</v>
      </c>
      <c r="E113" t="s">
        <v>149</v>
      </c>
      <c r="F113" s="2">
        <v>45887</v>
      </c>
      <c r="I113">
        <f t="shared" si="4"/>
        <v>7</v>
      </c>
      <c r="J113" t="str">
        <f t="shared" si="5"/>
        <v>FORU2119067|45887|</v>
      </c>
      <c r="K113" t="str">
        <f t="shared" si="6"/>
        <v>FORU2119067|20 FT|DRY|ZONA</v>
      </c>
    </row>
    <row r="114" spans="1:11" x14ac:dyDescent="0.2">
      <c r="A114">
        <v>113</v>
      </c>
      <c r="C114" t="s">
        <v>2</v>
      </c>
      <c r="D114" s="1">
        <v>1041971</v>
      </c>
      <c r="E114" t="s">
        <v>149</v>
      </c>
      <c r="F114" s="2">
        <v>45884</v>
      </c>
      <c r="G114" s="2">
        <v>46251</v>
      </c>
      <c r="I114">
        <f t="shared" si="4"/>
        <v>7</v>
      </c>
      <c r="J114" t="str">
        <f t="shared" si="5"/>
        <v>GESU1041971|45884|46251</v>
      </c>
      <c r="K114" t="str">
        <f t="shared" si="6"/>
        <v>GESU1041971|20 FT|DRY|ZONA</v>
      </c>
    </row>
    <row r="115" spans="1:11" x14ac:dyDescent="0.2">
      <c r="A115">
        <v>114</v>
      </c>
      <c r="C115" t="s">
        <v>10</v>
      </c>
      <c r="D115" s="1">
        <v>1539437</v>
      </c>
      <c r="E115" t="s">
        <v>149</v>
      </c>
      <c r="F115" s="2">
        <v>45885</v>
      </c>
      <c r="G115" s="2">
        <v>46230</v>
      </c>
      <c r="I115">
        <f t="shared" si="4"/>
        <v>7</v>
      </c>
      <c r="J115" t="str">
        <f t="shared" si="5"/>
        <v>OOLU1539437|45885|46230</v>
      </c>
      <c r="K115" t="str">
        <f t="shared" si="6"/>
        <v>OOLU1539437|20 FT|DRY|ZONA</v>
      </c>
    </row>
    <row r="116" spans="1:11" x14ac:dyDescent="0.2">
      <c r="A116">
        <v>115</v>
      </c>
      <c r="C116" t="s">
        <v>51</v>
      </c>
      <c r="D116" s="1">
        <v>1231882</v>
      </c>
      <c r="E116" t="s">
        <v>149</v>
      </c>
      <c r="F116" s="2">
        <v>45932</v>
      </c>
      <c r="G116" s="2">
        <v>46030</v>
      </c>
      <c r="I116">
        <f t="shared" si="4"/>
        <v>7</v>
      </c>
      <c r="J116" t="str">
        <f t="shared" si="5"/>
        <v>MEDU1231882|45932|46030</v>
      </c>
      <c r="K116" t="str">
        <f t="shared" si="6"/>
        <v>MEDU1231882|20 FT|DRY|ZONA</v>
      </c>
    </row>
    <row r="117" spans="1:11" x14ac:dyDescent="0.2">
      <c r="A117">
        <v>116</v>
      </c>
      <c r="C117" t="s">
        <v>14</v>
      </c>
      <c r="D117" s="1" t="s">
        <v>52</v>
      </c>
      <c r="E117" t="s">
        <v>149</v>
      </c>
      <c r="F117" s="2">
        <v>45933</v>
      </c>
      <c r="I117">
        <f t="shared" si="4"/>
        <v>7</v>
      </c>
      <c r="J117" t="str">
        <f t="shared" si="5"/>
        <v>WHLU0274023|45933|</v>
      </c>
      <c r="K117" t="str">
        <f t="shared" si="6"/>
        <v>WHLU0274023|20 FT|DRY|ZONA</v>
      </c>
    </row>
    <row r="118" spans="1:11" x14ac:dyDescent="0.2">
      <c r="A118">
        <v>117</v>
      </c>
      <c r="C118" t="s">
        <v>25</v>
      </c>
      <c r="D118" s="1">
        <v>9663938</v>
      </c>
      <c r="E118" t="s">
        <v>134</v>
      </c>
      <c r="F118" s="2">
        <v>45933</v>
      </c>
      <c r="I118">
        <f t="shared" si="4"/>
        <v>7</v>
      </c>
      <c r="J118" t="str">
        <f t="shared" si="5"/>
        <v>DRYU9663938|45933|</v>
      </c>
      <c r="K118" t="str">
        <f t="shared" si="6"/>
        <v>DRYU9663938|40 FT|DRY|ZONA</v>
      </c>
    </row>
    <row r="119" spans="1:11" x14ac:dyDescent="0.2">
      <c r="A119">
        <v>118</v>
      </c>
      <c r="C119" t="s">
        <v>53</v>
      </c>
      <c r="D119" s="1">
        <v>6266922</v>
      </c>
      <c r="E119" t="s">
        <v>149</v>
      </c>
      <c r="F119" s="2">
        <v>45933</v>
      </c>
      <c r="I119">
        <f t="shared" si="4"/>
        <v>7</v>
      </c>
      <c r="J119" t="str">
        <f t="shared" si="5"/>
        <v>CAXU6266922|45933|</v>
      </c>
      <c r="K119" t="str">
        <f t="shared" si="6"/>
        <v>CAXU6266922|20 FT|DRY|ZONA</v>
      </c>
    </row>
    <row r="120" spans="1:11" x14ac:dyDescent="0.2">
      <c r="A120">
        <v>119</v>
      </c>
      <c r="C120" t="s">
        <v>10</v>
      </c>
      <c r="D120" s="1">
        <v>1608327</v>
      </c>
      <c r="E120" t="s">
        <v>149</v>
      </c>
      <c r="F120" s="2">
        <v>45934</v>
      </c>
      <c r="I120">
        <f t="shared" si="4"/>
        <v>7</v>
      </c>
      <c r="J120" t="str">
        <f t="shared" si="5"/>
        <v>OOLU1608327|45934|</v>
      </c>
      <c r="K120" t="str">
        <f t="shared" si="6"/>
        <v>OOLU1608327|20 FT|DRY|ZONA</v>
      </c>
    </row>
    <row r="121" spans="1:11" x14ac:dyDescent="0.2">
      <c r="A121">
        <v>120</v>
      </c>
      <c r="C121" t="s">
        <v>21</v>
      </c>
      <c r="D121" s="1">
        <v>2544528</v>
      </c>
      <c r="E121" t="s">
        <v>149</v>
      </c>
      <c r="F121" s="2">
        <v>45934</v>
      </c>
      <c r="G121" s="2">
        <v>46241</v>
      </c>
      <c r="I121">
        <f t="shared" si="4"/>
        <v>7</v>
      </c>
      <c r="J121" t="str">
        <f t="shared" si="5"/>
        <v>PCIU2544528|45934|46241</v>
      </c>
      <c r="K121" t="str">
        <f t="shared" si="6"/>
        <v>PCIU2544528|20 FT|DRY|ZONA</v>
      </c>
    </row>
    <row r="122" spans="1:11" x14ac:dyDescent="0.2">
      <c r="A122">
        <v>121</v>
      </c>
      <c r="C122" t="s">
        <v>5</v>
      </c>
      <c r="D122" s="1">
        <v>2740169</v>
      </c>
      <c r="E122" t="s">
        <v>149</v>
      </c>
      <c r="F122" s="2">
        <v>45940</v>
      </c>
      <c r="G122" s="2">
        <v>46029</v>
      </c>
      <c r="I122">
        <f t="shared" si="4"/>
        <v>7</v>
      </c>
      <c r="J122" t="str">
        <f t="shared" si="5"/>
        <v>TGHU2740169|45940|46029</v>
      </c>
      <c r="K122" t="str">
        <f t="shared" si="6"/>
        <v>TGHU2740169|20 FT|DRY|ZONA</v>
      </c>
    </row>
    <row r="123" spans="1:11" x14ac:dyDescent="0.2">
      <c r="A123">
        <v>122</v>
      </c>
      <c r="C123" t="s">
        <v>5</v>
      </c>
      <c r="D123" s="1">
        <v>1501998</v>
      </c>
      <c r="E123" t="s">
        <v>149</v>
      </c>
      <c r="F123" s="2">
        <v>45940</v>
      </c>
      <c r="G123" s="2">
        <v>46030</v>
      </c>
      <c r="I123">
        <f t="shared" si="4"/>
        <v>7</v>
      </c>
      <c r="J123" t="str">
        <f t="shared" si="5"/>
        <v>TGHU1501998|45940|46030</v>
      </c>
      <c r="K123" t="str">
        <f t="shared" si="6"/>
        <v>TGHU1501998|20 FT|DRY|ZONA</v>
      </c>
    </row>
    <row r="124" spans="1:11" x14ac:dyDescent="0.2">
      <c r="A124">
        <v>123</v>
      </c>
      <c r="C124" t="s">
        <v>41</v>
      </c>
      <c r="D124" s="1">
        <v>2472395</v>
      </c>
      <c r="E124" t="s">
        <v>149</v>
      </c>
      <c r="F124" s="2">
        <v>45940</v>
      </c>
      <c r="I124">
        <f t="shared" si="4"/>
        <v>7</v>
      </c>
      <c r="J124" t="str">
        <f t="shared" si="5"/>
        <v>BMOU2472395|45940|</v>
      </c>
      <c r="K124" t="str">
        <f t="shared" si="6"/>
        <v>BMOU2472395|20 FT|DRY|ZONA</v>
      </c>
    </row>
    <row r="125" spans="1:11" x14ac:dyDescent="0.2">
      <c r="A125">
        <v>124</v>
      </c>
      <c r="C125" t="s">
        <v>10</v>
      </c>
      <c r="D125" s="1">
        <v>1707000</v>
      </c>
      <c r="E125" t="s">
        <v>149</v>
      </c>
      <c r="F125" s="2">
        <v>45940</v>
      </c>
      <c r="G125" s="2">
        <v>46246</v>
      </c>
      <c r="I125">
        <f t="shared" si="4"/>
        <v>7</v>
      </c>
      <c r="J125" t="str">
        <f t="shared" si="5"/>
        <v>OOLU1707000|45940|46246</v>
      </c>
      <c r="K125" t="str">
        <f t="shared" si="6"/>
        <v>OOLU1707000|20 FT|DRY|ZONA</v>
      </c>
    </row>
    <row r="126" spans="1:11" x14ac:dyDescent="0.2">
      <c r="A126">
        <v>125</v>
      </c>
      <c r="C126" t="s">
        <v>33</v>
      </c>
      <c r="D126" s="1">
        <v>2459705</v>
      </c>
      <c r="E126" t="s">
        <v>149</v>
      </c>
      <c r="F126" s="2">
        <v>45941</v>
      </c>
      <c r="G126" s="2">
        <v>46032</v>
      </c>
      <c r="I126">
        <f t="shared" si="4"/>
        <v>7</v>
      </c>
      <c r="J126" t="str">
        <f t="shared" si="5"/>
        <v>CAIU2459705|45941|46032</v>
      </c>
      <c r="K126" t="str">
        <f t="shared" si="6"/>
        <v>CAIU2459705|20 FT|DRY|ZONA</v>
      </c>
    </row>
    <row r="127" spans="1:11" x14ac:dyDescent="0.2">
      <c r="A127">
        <v>126</v>
      </c>
      <c r="C127" t="s">
        <v>54</v>
      </c>
      <c r="D127" s="1">
        <v>2190099</v>
      </c>
      <c r="E127" t="s">
        <v>149</v>
      </c>
      <c r="F127" s="2">
        <v>45941</v>
      </c>
      <c r="G127" s="2">
        <v>46243</v>
      </c>
      <c r="I127">
        <f t="shared" si="4"/>
        <v>7</v>
      </c>
      <c r="J127" t="str">
        <f t="shared" si="5"/>
        <v>GVCU2190099|45941|46243</v>
      </c>
      <c r="K127" t="str">
        <f t="shared" si="6"/>
        <v>GVCU2190099|20 FT|DRY|ZONA</v>
      </c>
    </row>
    <row r="128" spans="1:11" x14ac:dyDescent="0.2">
      <c r="A128">
        <v>127</v>
      </c>
      <c r="C128" t="s">
        <v>13</v>
      </c>
      <c r="D128" s="1">
        <v>5915368</v>
      </c>
      <c r="E128" t="s">
        <v>149</v>
      </c>
      <c r="F128" s="2">
        <v>45941</v>
      </c>
      <c r="G128" s="2">
        <v>46240</v>
      </c>
      <c r="I128">
        <f t="shared" si="4"/>
        <v>7</v>
      </c>
      <c r="J128" t="str">
        <f t="shared" si="5"/>
        <v>CBHU5915368|45941|46240</v>
      </c>
      <c r="K128" t="str">
        <f t="shared" si="6"/>
        <v>CBHU5915368|20 FT|DRY|ZONA</v>
      </c>
    </row>
    <row r="129" spans="1:11" x14ac:dyDescent="0.2">
      <c r="A129">
        <v>128</v>
      </c>
      <c r="C129" t="s">
        <v>3</v>
      </c>
      <c r="D129" s="1">
        <v>2085390</v>
      </c>
      <c r="E129" t="s">
        <v>149</v>
      </c>
      <c r="F129" s="2">
        <v>45941</v>
      </c>
      <c r="G129" s="2">
        <v>46030</v>
      </c>
      <c r="I129">
        <f t="shared" si="4"/>
        <v>7</v>
      </c>
      <c r="J129" t="str">
        <f t="shared" si="5"/>
        <v>MSKU2085390|45941|46030</v>
      </c>
      <c r="K129" t="str">
        <f t="shared" si="6"/>
        <v>MSKU2085390|20 FT|DRY|ZONA</v>
      </c>
    </row>
    <row r="130" spans="1:11" x14ac:dyDescent="0.2">
      <c r="A130">
        <v>129</v>
      </c>
      <c r="C130" t="s">
        <v>5</v>
      </c>
      <c r="D130" s="1" t="s">
        <v>55</v>
      </c>
      <c r="E130" t="s">
        <v>149</v>
      </c>
      <c r="F130" s="2">
        <v>45941</v>
      </c>
      <c r="I130">
        <f t="shared" si="4"/>
        <v>7</v>
      </c>
      <c r="J130" t="str">
        <f t="shared" si="5"/>
        <v>TGHU0187542|45941|</v>
      </c>
      <c r="K130" t="str">
        <f t="shared" si="6"/>
        <v>TGHU0187542|20 FT|DRY|ZONA</v>
      </c>
    </row>
    <row r="131" spans="1:11" x14ac:dyDescent="0.2">
      <c r="A131">
        <v>130</v>
      </c>
      <c r="C131" t="s">
        <v>14</v>
      </c>
      <c r="D131" s="1" t="s">
        <v>56</v>
      </c>
      <c r="E131" t="s">
        <v>149</v>
      </c>
      <c r="F131" s="2">
        <v>45941</v>
      </c>
      <c r="G131" s="2">
        <v>46252</v>
      </c>
      <c r="I131">
        <f t="shared" ref="I131:I194" si="7">LEN(D131)</f>
        <v>7</v>
      </c>
      <c r="J131" t="str">
        <f t="shared" ref="J131:J194" si="8">C131&amp;D131&amp;"|"&amp;F131&amp;"|"&amp;G131</f>
        <v>WHLU0330050|45941|46252</v>
      </c>
      <c r="K131" t="str">
        <f t="shared" si="6"/>
        <v>WHLU0330050|20 FT|DRY|ZONA</v>
      </c>
    </row>
    <row r="132" spans="1:11" x14ac:dyDescent="0.2">
      <c r="A132">
        <v>131</v>
      </c>
      <c r="C132" t="s">
        <v>2</v>
      </c>
      <c r="D132" s="1">
        <v>3267124</v>
      </c>
      <c r="E132" t="s">
        <v>149</v>
      </c>
      <c r="F132" s="2">
        <v>45941</v>
      </c>
      <c r="G132" s="2">
        <v>46236</v>
      </c>
      <c r="I132">
        <f t="shared" si="7"/>
        <v>7</v>
      </c>
      <c r="J132" t="str">
        <f t="shared" si="8"/>
        <v>GESU3267124|45941|46236</v>
      </c>
      <c r="K132" t="str">
        <f t="shared" si="6"/>
        <v>GESU3267124|20 FT|DRY|ZONA</v>
      </c>
    </row>
    <row r="133" spans="1:11" x14ac:dyDescent="0.2">
      <c r="A133">
        <v>132</v>
      </c>
      <c r="C133" t="s">
        <v>2</v>
      </c>
      <c r="D133" s="1">
        <v>3025624</v>
      </c>
      <c r="E133" t="s">
        <v>149</v>
      </c>
      <c r="F133" s="2">
        <v>45942</v>
      </c>
      <c r="G133" s="2">
        <v>46237</v>
      </c>
      <c r="I133">
        <f t="shared" si="7"/>
        <v>7</v>
      </c>
      <c r="J133" t="str">
        <f t="shared" si="8"/>
        <v>GESU3025624|45942|46237</v>
      </c>
      <c r="K133" t="str">
        <f t="shared" si="6"/>
        <v>GESU3025624|20 FT|DRY|ZONA</v>
      </c>
    </row>
    <row r="134" spans="1:11" x14ac:dyDescent="0.2">
      <c r="A134">
        <v>133</v>
      </c>
      <c r="C134" t="s">
        <v>11</v>
      </c>
      <c r="D134" s="1">
        <v>2345199</v>
      </c>
      <c r="E134" t="s">
        <v>149</v>
      </c>
      <c r="F134" s="2">
        <v>45942</v>
      </c>
      <c r="I134">
        <f t="shared" si="7"/>
        <v>7</v>
      </c>
      <c r="J134" t="str">
        <f t="shared" si="8"/>
        <v>TEMU2345199|45942|</v>
      </c>
      <c r="K134" t="str">
        <f t="shared" si="6"/>
        <v>TEMU2345199|20 FT|DRY|ZONA</v>
      </c>
    </row>
    <row r="135" spans="1:11" x14ac:dyDescent="0.2">
      <c r="A135">
        <v>134</v>
      </c>
      <c r="C135" t="s">
        <v>10</v>
      </c>
      <c r="D135" s="1">
        <v>1408611</v>
      </c>
      <c r="E135" t="s">
        <v>149</v>
      </c>
      <c r="F135" s="2">
        <v>45942</v>
      </c>
      <c r="I135">
        <f t="shared" si="7"/>
        <v>7</v>
      </c>
      <c r="J135" t="str">
        <f t="shared" si="8"/>
        <v>OOLU1408611|45942|</v>
      </c>
      <c r="K135" t="str">
        <f t="shared" si="6"/>
        <v>OOLU1408611|20 FT|DRY|ZONA</v>
      </c>
    </row>
    <row r="136" spans="1:11" x14ac:dyDescent="0.2">
      <c r="A136">
        <v>135</v>
      </c>
      <c r="C136" t="s">
        <v>5</v>
      </c>
      <c r="D136" s="1">
        <v>2978820</v>
      </c>
      <c r="E136" t="s">
        <v>149</v>
      </c>
      <c r="F136" s="2">
        <v>45943</v>
      </c>
      <c r="G136" s="2">
        <v>46028</v>
      </c>
      <c r="I136">
        <f t="shared" si="7"/>
        <v>7</v>
      </c>
      <c r="J136" t="str">
        <f t="shared" si="8"/>
        <v>TGHU2978820|45943|46028</v>
      </c>
      <c r="K136" t="str">
        <f t="shared" si="6"/>
        <v>TGHU2978820|20 FT|DRY|ZONA</v>
      </c>
    </row>
    <row r="137" spans="1:11" x14ac:dyDescent="0.2">
      <c r="A137">
        <v>136</v>
      </c>
      <c r="C137" t="s">
        <v>47</v>
      </c>
      <c r="D137" s="1">
        <v>3337715</v>
      </c>
      <c r="E137" t="s">
        <v>149</v>
      </c>
      <c r="F137" s="2">
        <v>45943</v>
      </c>
      <c r="G137" s="2">
        <v>46236</v>
      </c>
      <c r="I137">
        <f t="shared" si="7"/>
        <v>7</v>
      </c>
      <c r="J137" t="str">
        <f t="shared" si="8"/>
        <v>IPXU3337715|45943|46236</v>
      </c>
      <c r="K137" t="str">
        <f t="shared" si="6"/>
        <v>IPXU3337715|20 FT|DRY|ZONA</v>
      </c>
    </row>
    <row r="138" spans="1:11" x14ac:dyDescent="0.2">
      <c r="A138">
        <v>137</v>
      </c>
      <c r="C138" t="s">
        <v>36</v>
      </c>
      <c r="D138" s="1">
        <v>1073297</v>
      </c>
      <c r="E138" t="s">
        <v>149</v>
      </c>
      <c r="F138" s="2">
        <v>45943</v>
      </c>
      <c r="G138" s="2">
        <v>46252</v>
      </c>
      <c r="I138">
        <f t="shared" si="7"/>
        <v>7</v>
      </c>
      <c r="J138" t="str">
        <f t="shared" si="8"/>
        <v>CXDU1073297|45943|46252</v>
      </c>
      <c r="K138" t="str">
        <f t="shared" si="6"/>
        <v>CXDU1073297|20 FT|DRY|ZONA</v>
      </c>
    </row>
    <row r="139" spans="1:11" x14ac:dyDescent="0.2">
      <c r="A139">
        <v>138</v>
      </c>
      <c r="C139" t="s">
        <v>57</v>
      </c>
      <c r="D139" s="1">
        <v>7988569</v>
      </c>
      <c r="E139" t="s">
        <v>149</v>
      </c>
      <c r="F139" s="2">
        <v>45943</v>
      </c>
      <c r="G139" s="2">
        <v>46243</v>
      </c>
      <c r="I139">
        <f t="shared" si="7"/>
        <v>7</v>
      </c>
      <c r="J139" t="str">
        <f t="shared" si="8"/>
        <v>SCZU7988569|45943|46243</v>
      </c>
      <c r="K139" t="str">
        <f t="shared" si="6"/>
        <v>SCZU7988569|20 FT|DRY|ZONA</v>
      </c>
    </row>
    <row r="140" spans="1:11" x14ac:dyDescent="0.2">
      <c r="A140">
        <v>139</v>
      </c>
      <c r="C140" t="s">
        <v>26</v>
      </c>
      <c r="D140" s="1">
        <v>1361748</v>
      </c>
      <c r="E140" t="s">
        <v>149</v>
      </c>
      <c r="F140" s="2">
        <v>45944</v>
      </c>
      <c r="G140" s="2">
        <v>46031</v>
      </c>
      <c r="I140">
        <f t="shared" si="7"/>
        <v>7</v>
      </c>
      <c r="J140" t="str">
        <f t="shared" si="8"/>
        <v>GATU1361748|45944|46031</v>
      </c>
      <c r="K140" t="str">
        <f t="shared" ref="K140:K203" si="9">C140&amp;D140&amp;"|"&amp;E140&amp;"|"&amp;"DRY"&amp;"|"&amp;"ZONA"</f>
        <v>GATU1361748|20 FT|DRY|ZONA</v>
      </c>
    </row>
    <row r="141" spans="1:11" x14ac:dyDescent="0.2">
      <c r="A141">
        <v>140</v>
      </c>
      <c r="C141" t="s">
        <v>10</v>
      </c>
      <c r="D141" s="1">
        <v>1741134</v>
      </c>
      <c r="E141" t="s">
        <v>149</v>
      </c>
      <c r="F141" s="2">
        <v>45944</v>
      </c>
      <c r="I141">
        <f t="shared" si="7"/>
        <v>7</v>
      </c>
      <c r="J141" t="str">
        <f t="shared" si="8"/>
        <v>OOLU1741134|45944|</v>
      </c>
      <c r="K141" t="str">
        <f t="shared" si="9"/>
        <v>OOLU1741134|20 FT|DRY|ZONA</v>
      </c>
    </row>
    <row r="142" spans="1:11" x14ac:dyDescent="0.2">
      <c r="A142">
        <v>141</v>
      </c>
      <c r="C142" t="s">
        <v>5</v>
      </c>
      <c r="D142" s="1">
        <v>2371292</v>
      </c>
      <c r="E142" t="s">
        <v>149</v>
      </c>
      <c r="F142" s="2">
        <v>45944</v>
      </c>
      <c r="G142" s="2">
        <v>46028</v>
      </c>
      <c r="I142">
        <f t="shared" si="7"/>
        <v>7</v>
      </c>
      <c r="J142" t="str">
        <f t="shared" si="8"/>
        <v>TGHU2371292|45944|46028</v>
      </c>
      <c r="K142" t="str">
        <f t="shared" si="9"/>
        <v>TGHU2371292|20 FT|DRY|ZONA</v>
      </c>
    </row>
    <row r="143" spans="1:11" x14ac:dyDescent="0.2">
      <c r="A143">
        <v>142</v>
      </c>
      <c r="C143" t="s">
        <v>5</v>
      </c>
      <c r="D143" s="1">
        <v>1228950</v>
      </c>
      <c r="E143" t="s">
        <v>149</v>
      </c>
      <c r="F143" s="2">
        <v>45943</v>
      </c>
      <c r="G143" s="2">
        <v>46183</v>
      </c>
      <c r="I143">
        <f t="shared" si="7"/>
        <v>7</v>
      </c>
      <c r="J143" t="str">
        <f t="shared" si="8"/>
        <v>TGHU1228950|45943|46183</v>
      </c>
      <c r="K143" t="str">
        <f t="shared" si="9"/>
        <v>TGHU1228950|20 FT|DRY|ZONA</v>
      </c>
    </row>
    <row r="144" spans="1:11" x14ac:dyDescent="0.2">
      <c r="A144">
        <v>143</v>
      </c>
      <c r="C144" t="s">
        <v>29</v>
      </c>
      <c r="D144" s="1">
        <v>1143128</v>
      </c>
      <c r="E144" t="s">
        <v>149</v>
      </c>
      <c r="F144" s="2">
        <v>45944</v>
      </c>
      <c r="G144" s="2">
        <v>46029</v>
      </c>
      <c r="I144">
        <f t="shared" si="7"/>
        <v>7</v>
      </c>
      <c r="J144" t="str">
        <f t="shared" si="8"/>
        <v>CRXU1143128|45944|46029</v>
      </c>
      <c r="K144" t="str">
        <f t="shared" si="9"/>
        <v>CRXU1143128|20 FT|DRY|ZONA</v>
      </c>
    </row>
    <row r="145" spans="1:11" x14ac:dyDescent="0.2">
      <c r="A145">
        <v>144</v>
      </c>
      <c r="C145" t="s">
        <v>3</v>
      </c>
      <c r="D145" s="1">
        <v>2536235</v>
      </c>
      <c r="E145" t="s">
        <v>149</v>
      </c>
      <c r="F145" s="2">
        <v>45943</v>
      </c>
      <c r="G145" s="2">
        <v>46254</v>
      </c>
      <c r="I145">
        <f t="shared" si="7"/>
        <v>7</v>
      </c>
      <c r="J145" t="str">
        <f t="shared" si="8"/>
        <v>MSKU2536235|45943|46254</v>
      </c>
      <c r="K145" t="str">
        <f t="shared" si="9"/>
        <v>MSKU2536235|20 FT|DRY|ZONA</v>
      </c>
    </row>
    <row r="146" spans="1:11" x14ac:dyDescent="0.2">
      <c r="A146">
        <v>145</v>
      </c>
      <c r="C146" t="s">
        <v>13</v>
      </c>
      <c r="D146" s="1">
        <v>3287642</v>
      </c>
      <c r="E146" t="s">
        <v>149</v>
      </c>
      <c r="F146" s="2">
        <v>45943</v>
      </c>
      <c r="G146" s="2">
        <v>46058</v>
      </c>
      <c r="I146">
        <f t="shared" si="7"/>
        <v>7</v>
      </c>
      <c r="J146" t="str">
        <f t="shared" si="8"/>
        <v>CBHU3287642|45943|46058</v>
      </c>
      <c r="K146" t="str">
        <f t="shared" si="9"/>
        <v>CBHU3287642|20 FT|DRY|ZONA</v>
      </c>
    </row>
    <row r="147" spans="1:11" x14ac:dyDescent="0.2">
      <c r="A147">
        <v>146</v>
      </c>
      <c r="C147" t="s">
        <v>58</v>
      </c>
      <c r="D147" s="1">
        <v>2235920</v>
      </c>
      <c r="E147" t="s">
        <v>149</v>
      </c>
      <c r="F147" s="2">
        <v>45946</v>
      </c>
      <c r="G147" s="2">
        <v>46243</v>
      </c>
      <c r="I147">
        <f t="shared" si="7"/>
        <v>7</v>
      </c>
      <c r="J147" t="str">
        <f t="shared" si="8"/>
        <v>EISU2235920|45946|46243</v>
      </c>
      <c r="K147" t="str">
        <f t="shared" si="9"/>
        <v>EISU2235920|20 FT|DRY|ZONA</v>
      </c>
    </row>
    <row r="148" spans="1:11" x14ac:dyDescent="0.2">
      <c r="A148">
        <v>147</v>
      </c>
      <c r="C148" t="s">
        <v>33</v>
      </c>
      <c r="D148" s="1">
        <v>2427740</v>
      </c>
      <c r="E148" t="s">
        <v>149</v>
      </c>
      <c r="F148" s="2">
        <v>45946</v>
      </c>
      <c r="I148">
        <f t="shared" si="7"/>
        <v>7</v>
      </c>
      <c r="J148" t="str">
        <f t="shared" si="8"/>
        <v>CAIU2427740|45946|</v>
      </c>
      <c r="K148" t="str">
        <f t="shared" si="9"/>
        <v>CAIU2427740|20 FT|DRY|ZONA</v>
      </c>
    </row>
    <row r="149" spans="1:11" x14ac:dyDescent="0.2">
      <c r="A149">
        <v>148</v>
      </c>
      <c r="C149" t="s">
        <v>14</v>
      </c>
      <c r="D149" s="1" t="s">
        <v>59</v>
      </c>
      <c r="E149" t="s">
        <v>149</v>
      </c>
      <c r="F149" s="2">
        <v>45946</v>
      </c>
      <c r="G149" s="2">
        <v>46250</v>
      </c>
      <c r="I149">
        <f t="shared" si="7"/>
        <v>7</v>
      </c>
      <c r="J149" t="str">
        <f t="shared" si="8"/>
        <v>WHLU0352189|45946|46250</v>
      </c>
      <c r="K149" t="str">
        <f t="shared" si="9"/>
        <v>WHLU0352189|20 FT|DRY|ZONA</v>
      </c>
    </row>
    <row r="150" spans="1:11" x14ac:dyDescent="0.2">
      <c r="A150">
        <v>149</v>
      </c>
      <c r="C150" t="s">
        <v>3</v>
      </c>
      <c r="D150" s="1">
        <v>2130971</v>
      </c>
      <c r="E150" t="s">
        <v>149</v>
      </c>
      <c r="F150" s="2">
        <v>45946</v>
      </c>
      <c r="G150" s="2">
        <v>46231</v>
      </c>
      <c r="I150">
        <f t="shared" si="7"/>
        <v>7</v>
      </c>
      <c r="J150" t="str">
        <f t="shared" si="8"/>
        <v>MSKU2130971|45946|46231</v>
      </c>
      <c r="K150" t="str">
        <f t="shared" si="9"/>
        <v>MSKU2130971|20 FT|DRY|ZONA</v>
      </c>
    </row>
    <row r="151" spans="1:11" x14ac:dyDescent="0.2">
      <c r="A151">
        <v>150</v>
      </c>
      <c r="C151" t="s">
        <v>25</v>
      </c>
      <c r="D151" s="1">
        <v>2601908</v>
      </c>
      <c r="E151" t="s">
        <v>149</v>
      </c>
      <c r="F151" s="2">
        <v>45947</v>
      </c>
      <c r="G151" s="2">
        <v>46251</v>
      </c>
      <c r="I151">
        <f t="shared" si="7"/>
        <v>7</v>
      </c>
      <c r="J151" t="str">
        <f t="shared" si="8"/>
        <v>DRYU2601908|45947|46251</v>
      </c>
      <c r="K151" t="str">
        <f t="shared" si="9"/>
        <v>DRYU2601908|20 FT|DRY|ZONA</v>
      </c>
    </row>
    <row r="152" spans="1:11" x14ac:dyDescent="0.2">
      <c r="A152">
        <v>151</v>
      </c>
      <c r="C152" t="s">
        <v>11</v>
      </c>
      <c r="D152" s="1">
        <v>2815815</v>
      </c>
      <c r="E152" t="s">
        <v>149</v>
      </c>
      <c r="F152" s="2">
        <v>45947</v>
      </c>
      <c r="I152">
        <f t="shared" si="7"/>
        <v>7</v>
      </c>
      <c r="J152" t="str">
        <f t="shared" si="8"/>
        <v>TEMU2815815|45947|</v>
      </c>
      <c r="K152" t="str">
        <f t="shared" si="9"/>
        <v>TEMU2815815|20 FT|DRY|ZONA</v>
      </c>
    </row>
    <row r="153" spans="1:11" x14ac:dyDescent="0.2">
      <c r="A153">
        <v>152</v>
      </c>
      <c r="C153" t="s">
        <v>29</v>
      </c>
      <c r="D153" s="1">
        <v>3126372</v>
      </c>
      <c r="E153" t="s">
        <v>149</v>
      </c>
      <c r="F153" s="2">
        <v>45947</v>
      </c>
      <c r="G153" s="2">
        <v>46154</v>
      </c>
      <c r="I153">
        <f t="shared" si="7"/>
        <v>7</v>
      </c>
      <c r="J153" t="str">
        <f t="shared" si="8"/>
        <v>CRXU3126372|45947|46154</v>
      </c>
      <c r="K153" t="str">
        <f t="shared" si="9"/>
        <v>CRXU3126372|20 FT|DRY|ZONA</v>
      </c>
    </row>
    <row r="154" spans="1:11" x14ac:dyDescent="0.2">
      <c r="A154">
        <v>153</v>
      </c>
      <c r="C154" t="s">
        <v>60</v>
      </c>
      <c r="D154" s="1">
        <v>2284255</v>
      </c>
      <c r="E154" t="s">
        <v>149</v>
      </c>
      <c r="F154" s="2">
        <v>45947</v>
      </c>
      <c r="G154" s="2">
        <v>46028</v>
      </c>
      <c r="I154">
        <f t="shared" si="7"/>
        <v>7</v>
      </c>
      <c r="J154" t="str">
        <f t="shared" si="8"/>
        <v>DFSU2284255|45947|46028</v>
      </c>
      <c r="K154" t="str">
        <f t="shared" si="9"/>
        <v>DFSU2284255|20 FT|DRY|ZONA</v>
      </c>
    </row>
    <row r="155" spans="1:11" x14ac:dyDescent="0.2">
      <c r="A155">
        <v>154</v>
      </c>
      <c r="C155" t="s">
        <v>61</v>
      </c>
      <c r="D155" s="1">
        <v>2002332</v>
      </c>
      <c r="E155" t="s">
        <v>149</v>
      </c>
      <c r="F155" s="2">
        <v>45947</v>
      </c>
      <c r="G155" s="2">
        <v>46232</v>
      </c>
      <c r="I155">
        <f t="shared" si="7"/>
        <v>7</v>
      </c>
      <c r="J155" t="str">
        <f t="shared" si="8"/>
        <v>BHSU2002332|45947|46232</v>
      </c>
      <c r="K155" t="str">
        <f t="shared" si="9"/>
        <v>BHSU2002332|20 FT|DRY|ZONA</v>
      </c>
    </row>
    <row r="156" spans="1:11" x14ac:dyDescent="0.2">
      <c r="A156">
        <v>155</v>
      </c>
      <c r="C156" t="s">
        <v>14</v>
      </c>
      <c r="D156" s="1">
        <v>2234884</v>
      </c>
      <c r="E156" t="s">
        <v>149</v>
      </c>
      <c r="F156" s="2">
        <v>45947</v>
      </c>
      <c r="G156" s="2">
        <v>46243</v>
      </c>
      <c r="I156">
        <f t="shared" si="7"/>
        <v>7</v>
      </c>
      <c r="J156" t="str">
        <f t="shared" si="8"/>
        <v>WHLU2234884|45947|46243</v>
      </c>
      <c r="K156" t="str">
        <f t="shared" si="9"/>
        <v>WHLU2234884|20 FT|DRY|ZONA</v>
      </c>
    </row>
    <row r="157" spans="1:11" x14ac:dyDescent="0.2">
      <c r="A157">
        <v>156</v>
      </c>
      <c r="C157" t="s">
        <v>62</v>
      </c>
      <c r="D157" s="1">
        <v>3586854</v>
      </c>
      <c r="E157" t="s">
        <v>149</v>
      </c>
      <c r="F157" s="2">
        <v>45947</v>
      </c>
      <c r="G157" s="2">
        <v>46031</v>
      </c>
      <c r="I157">
        <f t="shared" si="7"/>
        <v>7</v>
      </c>
      <c r="J157" t="str">
        <f t="shared" si="8"/>
        <v>CLHU3586854|45947|46031</v>
      </c>
      <c r="K157" t="str">
        <f t="shared" si="9"/>
        <v>CLHU3586854|20 FT|DRY|ZONA</v>
      </c>
    </row>
    <row r="158" spans="1:11" x14ac:dyDescent="0.2">
      <c r="A158">
        <v>157</v>
      </c>
      <c r="C158" t="s">
        <v>11</v>
      </c>
      <c r="D158" s="1">
        <v>2711087</v>
      </c>
      <c r="E158" t="s">
        <v>149</v>
      </c>
      <c r="F158" s="2">
        <v>45947</v>
      </c>
      <c r="G158" s="2">
        <v>46030</v>
      </c>
      <c r="I158">
        <f t="shared" si="7"/>
        <v>7</v>
      </c>
      <c r="J158" t="str">
        <f t="shared" si="8"/>
        <v>TEMU2711087|45947|46030</v>
      </c>
      <c r="K158" t="str">
        <f t="shared" si="9"/>
        <v>TEMU2711087|20 FT|DRY|ZONA</v>
      </c>
    </row>
    <row r="159" spans="1:11" x14ac:dyDescent="0.2">
      <c r="A159">
        <v>158</v>
      </c>
      <c r="C159" t="s">
        <v>34</v>
      </c>
      <c r="D159" s="1">
        <v>1927408</v>
      </c>
      <c r="E159" t="s">
        <v>149</v>
      </c>
      <c r="F159" s="2">
        <v>45947</v>
      </c>
      <c r="G159" s="2">
        <v>46259</v>
      </c>
      <c r="I159">
        <f t="shared" si="7"/>
        <v>7</v>
      </c>
      <c r="J159" t="str">
        <f t="shared" si="8"/>
        <v>SEGU1927408|45947|46259</v>
      </c>
      <c r="K159" t="str">
        <f t="shared" si="9"/>
        <v>SEGU1927408|20 FT|DRY|ZONA</v>
      </c>
    </row>
    <row r="160" spans="1:11" x14ac:dyDescent="0.2">
      <c r="A160">
        <v>159</v>
      </c>
      <c r="C160" t="s">
        <v>10</v>
      </c>
      <c r="D160" s="1">
        <v>1109816</v>
      </c>
      <c r="E160" t="s">
        <v>149</v>
      </c>
      <c r="F160" s="2">
        <v>45947</v>
      </c>
      <c r="I160">
        <f t="shared" si="7"/>
        <v>7</v>
      </c>
      <c r="J160" t="str">
        <f t="shared" si="8"/>
        <v>OOLU1109816|45947|</v>
      </c>
      <c r="K160" t="str">
        <f t="shared" si="9"/>
        <v>OOLU1109816|20 FT|DRY|ZONA</v>
      </c>
    </row>
    <row r="161" spans="1:11" x14ac:dyDescent="0.2">
      <c r="A161">
        <v>160</v>
      </c>
      <c r="C161" t="s">
        <v>10</v>
      </c>
      <c r="D161" s="1">
        <v>1386050</v>
      </c>
      <c r="E161" t="s">
        <v>149</v>
      </c>
      <c r="F161" s="2">
        <v>45947</v>
      </c>
      <c r="G161" s="2">
        <v>46032</v>
      </c>
      <c r="I161">
        <f t="shared" si="7"/>
        <v>7</v>
      </c>
      <c r="J161" t="str">
        <f t="shared" si="8"/>
        <v>OOLU1386050|45947|46032</v>
      </c>
      <c r="K161" t="str">
        <f t="shared" si="9"/>
        <v>OOLU1386050|20 FT|DRY|ZONA</v>
      </c>
    </row>
    <row r="162" spans="1:11" x14ac:dyDescent="0.2">
      <c r="A162">
        <v>161</v>
      </c>
      <c r="C162" t="s">
        <v>10</v>
      </c>
      <c r="D162" s="1">
        <v>1567737</v>
      </c>
      <c r="E162" t="s">
        <v>149</v>
      </c>
      <c r="F162" s="2">
        <v>45948</v>
      </c>
      <c r="G162" s="2">
        <v>46250</v>
      </c>
      <c r="I162">
        <f t="shared" si="7"/>
        <v>7</v>
      </c>
      <c r="J162" t="str">
        <f t="shared" si="8"/>
        <v>OOLU1567737|45948|46250</v>
      </c>
      <c r="K162" t="str">
        <f t="shared" si="9"/>
        <v>OOLU1567737|20 FT|DRY|ZONA</v>
      </c>
    </row>
    <row r="163" spans="1:11" x14ac:dyDescent="0.2">
      <c r="A163">
        <v>162</v>
      </c>
      <c r="C163" t="s">
        <v>36</v>
      </c>
      <c r="D163" s="1">
        <v>1284155</v>
      </c>
      <c r="E163" t="s">
        <v>149</v>
      </c>
      <c r="F163" s="2">
        <v>45947</v>
      </c>
      <c r="G163" s="2">
        <v>46183</v>
      </c>
      <c r="I163">
        <f t="shared" si="7"/>
        <v>7</v>
      </c>
      <c r="J163" t="str">
        <f t="shared" si="8"/>
        <v>CXDU1284155|45947|46183</v>
      </c>
      <c r="K163" t="str">
        <f t="shared" si="9"/>
        <v>CXDU1284155|20 FT|DRY|ZONA</v>
      </c>
    </row>
    <row r="164" spans="1:11" x14ac:dyDescent="0.2">
      <c r="A164">
        <v>163</v>
      </c>
      <c r="C164" t="s">
        <v>2</v>
      </c>
      <c r="D164" s="1">
        <v>2832175</v>
      </c>
      <c r="E164" t="s">
        <v>149</v>
      </c>
      <c r="F164" s="2">
        <v>45947</v>
      </c>
      <c r="I164">
        <f t="shared" si="7"/>
        <v>7</v>
      </c>
      <c r="J164" t="str">
        <f t="shared" si="8"/>
        <v>GESU2832175|45947|</v>
      </c>
      <c r="K164" t="str">
        <f t="shared" si="9"/>
        <v>GESU2832175|20 FT|DRY|ZONA</v>
      </c>
    </row>
    <row r="165" spans="1:11" x14ac:dyDescent="0.2">
      <c r="A165">
        <v>164</v>
      </c>
      <c r="C165" t="s">
        <v>63</v>
      </c>
      <c r="D165" s="1">
        <v>2143474</v>
      </c>
      <c r="E165" t="s">
        <v>149</v>
      </c>
      <c r="F165" s="2">
        <v>45947</v>
      </c>
      <c r="G165" s="2">
        <v>46230</v>
      </c>
      <c r="I165">
        <f t="shared" si="7"/>
        <v>7</v>
      </c>
      <c r="J165" t="str">
        <f t="shared" si="8"/>
        <v>MAGU2143474|45947|46230</v>
      </c>
      <c r="K165" t="str">
        <f t="shared" si="9"/>
        <v>MAGU2143474|20 FT|DRY|ZONA</v>
      </c>
    </row>
    <row r="166" spans="1:11" x14ac:dyDescent="0.2">
      <c r="A166">
        <v>165</v>
      </c>
      <c r="C166" t="s">
        <v>25</v>
      </c>
      <c r="D166" s="1">
        <v>2525562</v>
      </c>
      <c r="E166" t="s">
        <v>149</v>
      </c>
      <c r="F166" s="2">
        <v>45948</v>
      </c>
      <c r="G166" s="2">
        <v>46252</v>
      </c>
      <c r="I166">
        <f t="shared" si="7"/>
        <v>7</v>
      </c>
      <c r="J166" t="str">
        <f t="shared" si="8"/>
        <v>DRYU2525562|45948|46252</v>
      </c>
      <c r="K166" t="str">
        <f t="shared" si="9"/>
        <v>DRYU2525562|20 FT|DRY|ZONA</v>
      </c>
    </row>
    <row r="167" spans="1:11" x14ac:dyDescent="0.2">
      <c r="A167">
        <v>166</v>
      </c>
      <c r="C167" t="s">
        <v>11</v>
      </c>
      <c r="D167" s="1">
        <v>2365908</v>
      </c>
      <c r="E167" t="s">
        <v>149</v>
      </c>
      <c r="F167" s="2">
        <v>45948</v>
      </c>
      <c r="G167" s="2">
        <v>46229</v>
      </c>
      <c r="I167">
        <f t="shared" si="7"/>
        <v>7</v>
      </c>
      <c r="J167" t="str">
        <f t="shared" si="8"/>
        <v>TEMU2365908|45948|46229</v>
      </c>
      <c r="K167" t="str">
        <f t="shared" si="9"/>
        <v>TEMU2365908|20 FT|DRY|ZONA</v>
      </c>
    </row>
    <row r="168" spans="1:11" x14ac:dyDescent="0.2">
      <c r="A168">
        <v>167</v>
      </c>
      <c r="C168" t="s">
        <v>36</v>
      </c>
      <c r="D168" s="1">
        <v>1232341</v>
      </c>
      <c r="E168" t="s">
        <v>149</v>
      </c>
      <c r="F168" s="2">
        <v>45948</v>
      </c>
      <c r="G168" s="2">
        <v>46031</v>
      </c>
      <c r="I168">
        <f t="shared" si="7"/>
        <v>7</v>
      </c>
      <c r="J168" t="str">
        <f t="shared" si="8"/>
        <v>CXDU1232341|45948|46031</v>
      </c>
      <c r="K168" t="str">
        <f t="shared" si="9"/>
        <v>CXDU1232341|20 FT|DRY|ZONA</v>
      </c>
    </row>
    <row r="169" spans="1:11" x14ac:dyDescent="0.2">
      <c r="A169">
        <v>168</v>
      </c>
      <c r="C169" t="s">
        <v>41</v>
      </c>
      <c r="D169" s="1">
        <v>2992442</v>
      </c>
      <c r="E169" t="s">
        <v>149</v>
      </c>
      <c r="F169" s="2">
        <v>45948</v>
      </c>
      <c r="G169" s="2">
        <v>46033</v>
      </c>
      <c r="I169">
        <f t="shared" si="7"/>
        <v>7</v>
      </c>
      <c r="J169" t="str">
        <f t="shared" si="8"/>
        <v>BMOU2992442|45948|46033</v>
      </c>
      <c r="K169" t="str">
        <f t="shared" si="9"/>
        <v>BMOU2992442|20 FT|DRY|ZONA</v>
      </c>
    </row>
    <row r="170" spans="1:11" x14ac:dyDescent="0.2">
      <c r="A170">
        <v>169</v>
      </c>
      <c r="C170" t="s">
        <v>63</v>
      </c>
      <c r="D170" s="1">
        <v>2140855</v>
      </c>
      <c r="E170" t="s">
        <v>149</v>
      </c>
      <c r="F170" s="2">
        <v>45948</v>
      </c>
      <c r="G170" s="2">
        <v>46182</v>
      </c>
      <c r="I170">
        <f t="shared" si="7"/>
        <v>7</v>
      </c>
      <c r="J170" t="str">
        <f t="shared" si="8"/>
        <v>MAGU2140855|45948|46182</v>
      </c>
      <c r="K170" t="str">
        <f t="shared" si="9"/>
        <v>MAGU2140855|20 FT|DRY|ZONA</v>
      </c>
    </row>
    <row r="171" spans="1:11" x14ac:dyDescent="0.2">
      <c r="A171">
        <v>170</v>
      </c>
      <c r="C171" t="s">
        <v>34</v>
      </c>
      <c r="D171" s="1">
        <v>1032845</v>
      </c>
      <c r="E171" t="s">
        <v>149</v>
      </c>
      <c r="F171" s="2">
        <v>45948</v>
      </c>
      <c r="G171" s="2">
        <v>46243</v>
      </c>
      <c r="I171">
        <f t="shared" si="7"/>
        <v>7</v>
      </c>
      <c r="J171" t="str">
        <f t="shared" si="8"/>
        <v>SEGU1032845|45948|46243</v>
      </c>
      <c r="K171" t="str">
        <f t="shared" si="9"/>
        <v>SEGU1032845|20 FT|DRY|ZONA</v>
      </c>
    </row>
    <row r="172" spans="1:11" x14ac:dyDescent="0.2">
      <c r="A172">
        <v>171</v>
      </c>
      <c r="C172" t="s">
        <v>41</v>
      </c>
      <c r="D172" s="1">
        <v>2484919</v>
      </c>
      <c r="E172" t="s">
        <v>149</v>
      </c>
      <c r="F172" s="2">
        <v>45947</v>
      </c>
      <c r="I172">
        <f t="shared" si="7"/>
        <v>7</v>
      </c>
      <c r="J172" t="str">
        <f t="shared" si="8"/>
        <v>BMOU2484919|45947|</v>
      </c>
      <c r="K172" t="str">
        <f t="shared" si="9"/>
        <v>BMOU2484919|20 FT|DRY|ZONA</v>
      </c>
    </row>
    <row r="173" spans="1:11" x14ac:dyDescent="0.2">
      <c r="A173">
        <v>172</v>
      </c>
      <c r="C173" t="s">
        <v>46</v>
      </c>
      <c r="D173" s="1">
        <v>8435466</v>
      </c>
      <c r="E173" t="s">
        <v>149</v>
      </c>
      <c r="F173" s="2">
        <v>45951</v>
      </c>
      <c r="I173">
        <f t="shared" si="7"/>
        <v>7</v>
      </c>
      <c r="J173" t="str">
        <f t="shared" si="8"/>
        <v>HJCU8435466|45951|</v>
      </c>
      <c r="K173" t="str">
        <f t="shared" si="9"/>
        <v>HJCU8435466|20 FT|DRY|ZONA</v>
      </c>
    </row>
    <row r="174" spans="1:11" x14ac:dyDescent="0.2">
      <c r="A174">
        <v>173</v>
      </c>
      <c r="C174" t="s">
        <v>7</v>
      </c>
      <c r="D174" s="1">
        <v>1939254</v>
      </c>
      <c r="E174" t="s">
        <v>134</v>
      </c>
      <c r="F174" s="2">
        <v>45933</v>
      </c>
      <c r="G174" s="2">
        <v>46031</v>
      </c>
      <c r="I174">
        <f t="shared" si="7"/>
        <v>7</v>
      </c>
      <c r="J174" t="str">
        <f t="shared" si="8"/>
        <v>HJMU1939254|45933|46031</v>
      </c>
      <c r="K174" t="str">
        <f t="shared" si="9"/>
        <v>HJMU1939254|40 FT|DRY|ZONA</v>
      </c>
    </row>
    <row r="175" spans="1:11" x14ac:dyDescent="0.2">
      <c r="A175">
        <v>174</v>
      </c>
      <c r="C175" t="s">
        <v>64</v>
      </c>
      <c r="D175" s="1">
        <v>2303605</v>
      </c>
      <c r="E175" t="s">
        <v>149</v>
      </c>
      <c r="F175" s="2">
        <v>45932</v>
      </c>
      <c r="G175" s="2">
        <v>46030</v>
      </c>
      <c r="I175">
        <f t="shared" si="7"/>
        <v>7</v>
      </c>
      <c r="J175" t="str">
        <f t="shared" si="8"/>
        <v>FCGU2303605|45932|46030</v>
      </c>
      <c r="K175" t="str">
        <f t="shared" si="9"/>
        <v>FCGU2303605|20 FT|DRY|ZONA</v>
      </c>
    </row>
    <row r="176" spans="1:11" x14ac:dyDescent="0.2">
      <c r="A176">
        <v>175</v>
      </c>
      <c r="C176" t="s">
        <v>65</v>
      </c>
      <c r="D176" s="1">
        <v>6444089</v>
      </c>
      <c r="E176" t="s">
        <v>134</v>
      </c>
      <c r="F176" s="2">
        <v>46044</v>
      </c>
      <c r="I176">
        <f t="shared" si="7"/>
        <v>7</v>
      </c>
      <c r="J176" t="str">
        <f t="shared" si="8"/>
        <v>CPSU6444089|46044|</v>
      </c>
      <c r="K176" t="str">
        <f t="shared" si="9"/>
        <v>CPSU6444089|40 FT|DRY|ZONA</v>
      </c>
    </row>
    <row r="177" spans="1:11" x14ac:dyDescent="0.2">
      <c r="A177">
        <v>176</v>
      </c>
      <c r="C177" t="s">
        <v>46</v>
      </c>
      <c r="D177" s="1">
        <v>1689432</v>
      </c>
      <c r="E177" t="s">
        <v>134</v>
      </c>
      <c r="F177" s="2">
        <v>46045</v>
      </c>
      <c r="I177">
        <f t="shared" si="7"/>
        <v>7</v>
      </c>
      <c r="J177" t="str">
        <f t="shared" si="8"/>
        <v>HJCU1689432|46045|</v>
      </c>
      <c r="K177" t="str">
        <f t="shared" si="9"/>
        <v>HJCU1689432|40 FT|DRY|ZONA</v>
      </c>
    </row>
    <row r="178" spans="1:11" x14ac:dyDescent="0.2">
      <c r="A178">
        <v>177</v>
      </c>
      <c r="C178" t="s">
        <v>63</v>
      </c>
      <c r="D178" s="1">
        <v>5159936</v>
      </c>
      <c r="E178" t="s">
        <v>134</v>
      </c>
      <c r="F178" s="2">
        <v>46044</v>
      </c>
      <c r="I178">
        <f t="shared" si="7"/>
        <v>7</v>
      </c>
      <c r="J178" t="str">
        <f t="shared" si="8"/>
        <v>MAGU5159936|46044|</v>
      </c>
      <c r="K178" t="str">
        <f t="shared" si="9"/>
        <v>MAGU5159936|40 FT|DRY|ZONA</v>
      </c>
    </row>
    <row r="179" spans="1:11" x14ac:dyDescent="0.2">
      <c r="A179">
        <v>178</v>
      </c>
      <c r="C179" t="s">
        <v>2</v>
      </c>
      <c r="D179" s="1">
        <v>5347471</v>
      </c>
      <c r="E179" t="s">
        <v>134</v>
      </c>
      <c r="F179" s="2">
        <v>46045</v>
      </c>
      <c r="I179">
        <f t="shared" si="7"/>
        <v>7</v>
      </c>
      <c r="J179" t="str">
        <f t="shared" si="8"/>
        <v>GESU5347471|46045|</v>
      </c>
      <c r="K179" t="str">
        <f t="shared" si="9"/>
        <v>GESU5347471|40 FT|DRY|ZONA</v>
      </c>
    </row>
    <row r="180" spans="1:11" x14ac:dyDescent="0.2">
      <c r="A180">
        <v>179</v>
      </c>
      <c r="C180" t="s">
        <v>9</v>
      </c>
      <c r="D180" s="1">
        <v>9297034</v>
      </c>
      <c r="E180" t="s">
        <v>134</v>
      </c>
      <c r="F180" s="2">
        <v>46045</v>
      </c>
      <c r="I180">
        <f t="shared" si="7"/>
        <v>7</v>
      </c>
      <c r="J180" t="str">
        <f t="shared" si="8"/>
        <v>FCIU9297034|46045|</v>
      </c>
      <c r="K180" t="str">
        <f t="shared" si="9"/>
        <v>FCIU9297034|40 FT|DRY|ZONA</v>
      </c>
    </row>
    <row r="181" spans="1:11" x14ac:dyDescent="0.2">
      <c r="A181">
        <v>180</v>
      </c>
      <c r="C181" t="s">
        <v>66</v>
      </c>
      <c r="D181" s="1">
        <v>9620122</v>
      </c>
      <c r="E181" t="s">
        <v>134</v>
      </c>
      <c r="F181" s="2">
        <v>46044</v>
      </c>
      <c r="I181">
        <f t="shared" si="7"/>
        <v>7</v>
      </c>
      <c r="J181" t="str">
        <f t="shared" si="8"/>
        <v>WSCU9620122|46044|</v>
      </c>
      <c r="K181" t="str">
        <f t="shared" si="9"/>
        <v>WSCU9620122|40 FT|DRY|ZONA</v>
      </c>
    </row>
    <row r="182" spans="1:11" x14ac:dyDescent="0.2">
      <c r="A182">
        <v>181</v>
      </c>
      <c r="C182" t="s">
        <v>7</v>
      </c>
      <c r="D182" s="1">
        <v>1939254</v>
      </c>
      <c r="E182" t="s">
        <v>134</v>
      </c>
      <c r="F182" s="2">
        <v>46045</v>
      </c>
      <c r="I182">
        <f t="shared" si="7"/>
        <v>7</v>
      </c>
      <c r="J182" t="str">
        <f t="shared" si="8"/>
        <v>HJMU1939254|46045|</v>
      </c>
      <c r="K182" t="str">
        <f t="shared" si="9"/>
        <v>HJMU1939254|40 FT|DRY|ZONA</v>
      </c>
    </row>
    <row r="183" spans="1:11" x14ac:dyDescent="0.2">
      <c r="A183">
        <v>182</v>
      </c>
      <c r="C183" t="s">
        <v>41</v>
      </c>
      <c r="D183" s="1">
        <v>2369875</v>
      </c>
      <c r="E183" t="s">
        <v>149</v>
      </c>
      <c r="F183" s="2">
        <v>46046</v>
      </c>
      <c r="I183">
        <f t="shared" si="7"/>
        <v>7</v>
      </c>
      <c r="J183" t="str">
        <f t="shared" si="8"/>
        <v>BMOU2369875|46046|</v>
      </c>
      <c r="K183" t="str">
        <f t="shared" si="9"/>
        <v>BMOU2369875|20 FT|DRY|ZONA</v>
      </c>
    </row>
    <row r="184" spans="1:11" x14ac:dyDescent="0.2">
      <c r="A184">
        <v>183</v>
      </c>
      <c r="C184" t="s">
        <v>67</v>
      </c>
      <c r="D184" s="1">
        <v>9902224</v>
      </c>
      <c r="E184" t="s">
        <v>134</v>
      </c>
      <c r="F184" s="2">
        <v>46046</v>
      </c>
      <c r="I184">
        <f t="shared" si="7"/>
        <v>7</v>
      </c>
      <c r="J184" t="str">
        <f t="shared" si="8"/>
        <v>XXXU9902224|46046|</v>
      </c>
      <c r="K184" t="str">
        <f t="shared" si="9"/>
        <v>XXXU9902224|40 FT|DRY|ZONA</v>
      </c>
    </row>
    <row r="185" spans="1:11" x14ac:dyDescent="0.2">
      <c r="A185">
        <v>184</v>
      </c>
      <c r="C185" t="s">
        <v>33</v>
      </c>
      <c r="D185" s="1">
        <v>8449812</v>
      </c>
      <c r="E185" t="s">
        <v>134</v>
      </c>
      <c r="F185" s="2">
        <v>46046</v>
      </c>
      <c r="G185" s="2">
        <v>46155</v>
      </c>
      <c r="I185">
        <f t="shared" si="7"/>
        <v>7</v>
      </c>
      <c r="J185" t="str">
        <f t="shared" si="8"/>
        <v>CAIU8449812|46046|46155</v>
      </c>
      <c r="K185" t="str">
        <f t="shared" si="9"/>
        <v>CAIU8449812|40 FT|DRY|ZONA</v>
      </c>
    </row>
    <row r="186" spans="1:11" x14ac:dyDescent="0.2">
      <c r="A186">
        <v>185</v>
      </c>
      <c r="C186" t="s">
        <v>68</v>
      </c>
      <c r="D186" s="1">
        <v>5014252</v>
      </c>
      <c r="E186" t="s">
        <v>134</v>
      </c>
      <c r="F186" s="2">
        <v>46046</v>
      </c>
      <c r="I186">
        <f t="shared" si="7"/>
        <v>7</v>
      </c>
      <c r="J186" t="str">
        <f t="shared" si="8"/>
        <v>BAXU5014252|46046|</v>
      </c>
      <c r="K186" t="str">
        <f t="shared" si="9"/>
        <v>BAXU5014252|40 FT|DRY|ZONA</v>
      </c>
    </row>
    <row r="187" spans="1:11" x14ac:dyDescent="0.2">
      <c r="A187">
        <v>186</v>
      </c>
      <c r="C187" t="s">
        <v>25</v>
      </c>
      <c r="D187" s="1">
        <v>9057890</v>
      </c>
      <c r="E187" t="s">
        <v>134</v>
      </c>
      <c r="F187" s="2">
        <v>46045</v>
      </c>
      <c r="I187">
        <f t="shared" si="7"/>
        <v>7</v>
      </c>
      <c r="J187" t="str">
        <f t="shared" si="8"/>
        <v>DRYU9057890|46045|</v>
      </c>
      <c r="K187" t="str">
        <f t="shared" si="9"/>
        <v>DRYU9057890|40 FT|DRY|ZONA</v>
      </c>
    </row>
    <row r="188" spans="1:11" x14ac:dyDescent="0.2">
      <c r="A188">
        <v>187</v>
      </c>
      <c r="C188" t="s">
        <v>69</v>
      </c>
      <c r="D188" s="1">
        <v>6578436</v>
      </c>
      <c r="E188" t="s">
        <v>134</v>
      </c>
      <c r="F188" s="2">
        <v>46047</v>
      </c>
      <c r="I188">
        <f t="shared" si="7"/>
        <v>7</v>
      </c>
      <c r="J188" t="str">
        <f t="shared" si="8"/>
        <v>XNKU6578436|46047|</v>
      </c>
      <c r="K188" t="str">
        <f t="shared" si="9"/>
        <v>XNKU6578436|40 FT|DRY|ZONA</v>
      </c>
    </row>
    <row r="189" spans="1:11" x14ac:dyDescent="0.2">
      <c r="A189">
        <v>188</v>
      </c>
      <c r="C189" t="s">
        <v>62</v>
      </c>
      <c r="D189" s="1">
        <v>8770951</v>
      </c>
      <c r="E189" t="s">
        <v>134</v>
      </c>
      <c r="F189" s="2">
        <v>46049</v>
      </c>
      <c r="G189" s="2">
        <v>46220</v>
      </c>
      <c r="I189">
        <f t="shared" si="7"/>
        <v>7</v>
      </c>
      <c r="J189" t="str">
        <f t="shared" si="8"/>
        <v>CLHU8770951|46049|46220</v>
      </c>
      <c r="K189" t="str">
        <f t="shared" si="9"/>
        <v>CLHU8770951|40 FT|DRY|ZONA</v>
      </c>
    </row>
    <row r="190" spans="1:11" x14ac:dyDescent="0.2">
      <c r="A190">
        <v>189</v>
      </c>
      <c r="C190" t="s">
        <v>21</v>
      </c>
      <c r="D190" s="1">
        <v>8220486</v>
      </c>
      <c r="E190" t="s">
        <v>134</v>
      </c>
      <c r="F190" s="2">
        <v>46049</v>
      </c>
      <c r="I190">
        <f t="shared" si="7"/>
        <v>7</v>
      </c>
      <c r="J190" t="str">
        <f t="shared" si="8"/>
        <v>PCIU8220486|46049|</v>
      </c>
      <c r="K190" t="str">
        <f t="shared" si="9"/>
        <v>PCIU8220486|40 FT|DRY|ZONA</v>
      </c>
    </row>
    <row r="191" spans="1:11" x14ac:dyDescent="0.2">
      <c r="A191">
        <v>190</v>
      </c>
      <c r="C191" t="s">
        <v>32</v>
      </c>
      <c r="D191" s="1">
        <v>9984410</v>
      </c>
      <c r="E191" t="s">
        <v>134</v>
      </c>
      <c r="F191" s="2">
        <v>46053</v>
      </c>
      <c r="I191">
        <f t="shared" si="7"/>
        <v>7</v>
      </c>
      <c r="J191" t="str">
        <f t="shared" si="8"/>
        <v>FSCU9984410|46053|</v>
      </c>
      <c r="K191" t="str">
        <f t="shared" si="9"/>
        <v>FSCU9984410|40 FT|DRY|ZONA</v>
      </c>
    </row>
    <row r="192" spans="1:11" x14ac:dyDescent="0.2">
      <c r="A192">
        <v>191</v>
      </c>
      <c r="C192" t="s">
        <v>9</v>
      </c>
      <c r="D192" s="1">
        <v>8617853</v>
      </c>
      <c r="E192" t="s">
        <v>134</v>
      </c>
      <c r="F192" s="2">
        <v>46053</v>
      </c>
      <c r="I192">
        <f t="shared" si="7"/>
        <v>7</v>
      </c>
      <c r="J192" t="str">
        <f t="shared" si="8"/>
        <v>FCIU8617853|46053|</v>
      </c>
      <c r="K192" t="str">
        <f t="shared" si="9"/>
        <v>FCIU8617853|40 FT|DRY|ZONA</v>
      </c>
    </row>
    <row r="193" spans="1:11" x14ac:dyDescent="0.2">
      <c r="A193">
        <v>192</v>
      </c>
      <c r="C193" t="s">
        <v>26</v>
      </c>
      <c r="D193" s="1">
        <v>8673500</v>
      </c>
      <c r="E193" t="s">
        <v>134</v>
      </c>
      <c r="F193" s="2">
        <v>46057</v>
      </c>
      <c r="G193" s="2">
        <v>46182</v>
      </c>
      <c r="I193">
        <f t="shared" si="7"/>
        <v>7</v>
      </c>
      <c r="J193" t="str">
        <f t="shared" si="8"/>
        <v>GATU8673500|46057|46182</v>
      </c>
      <c r="K193" t="str">
        <f t="shared" si="9"/>
        <v>GATU8673500|40 FT|DRY|ZONA</v>
      </c>
    </row>
    <row r="194" spans="1:11" x14ac:dyDescent="0.2">
      <c r="A194">
        <v>193</v>
      </c>
      <c r="C194" t="s">
        <v>70</v>
      </c>
      <c r="D194" s="1">
        <v>6354991</v>
      </c>
      <c r="E194" t="s">
        <v>134</v>
      </c>
      <c r="F194" s="2">
        <v>46056</v>
      </c>
      <c r="I194">
        <f t="shared" si="7"/>
        <v>7</v>
      </c>
      <c r="J194" t="str">
        <f t="shared" si="8"/>
        <v>APHU6354991|46056|</v>
      </c>
      <c r="K194" t="str">
        <f t="shared" si="9"/>
        <v>APHU6354991|40 FT|DRY|ZONA</v>
      </c>
    </row>
    <row r="195" spans="1:11" x14ac:dyDescent="0.2">
      <c r="A195">
        <v>194</v>
      </c>
      <c r="C195" t="s">
        <v>5</v>
      </c>
      <c r="D195" s="1" t="s">
        <v>71</v>
      </c>
      <c r="E195" t="s">
        <v>149</v>
      </c>
      <c r="F195" s="2">
        <v>46058</v>
      </c>
      <c r="G195" s="2">
        <v>46183</v>
      </c>
      <c r="I195">
        <f t="shared" ref="I195:I258" si="10">LEN(D195)</f>
        <v>7</v>
      </c>
      <c r="J195" t="str">
        <f t="shared" ref="J195:J258" si="11">C195&amp;D195&amp;"|"&amp;F195&amp;"|"&amp;G195</f>
        <v>TGHU0339239|46058|46183</v>
      </c>
      <c r="K195" t="str">
        <f t="shared" si="9"/>
        <v>TGHU0339239|20 FT|DRY|ZONA</v>
      </c>
    </row>
    <row r="196" spans="1:11" x14ac:dyDescent="0.2">
      <c r="A196">
        <v>195</v>
      </c>
      <c r="C196" t="s">
        <v>5</v>
      </c>
      <c r="D196" s="1">
        <v>1237083</v>
      </c>
      <c r="E196" t="s">
        <v>149</v>
      </c>
      <c r="F196" s="2">
        <v>46058</v>
      </c>
      <c r="G196" s="2">
        <v>46178</v>
      </c>
      <c r="I196">
        <f t="shared" si="10"/>
        <v>7</v>
      </c>
      <c r="J196" t="str">
        <f t="shared" si="11"/>
        <v>TGHU1237083|46058|46178</v>
      </c>
      <c r="K196" t="str">
        <f t="shared" si="9"/>
        <v>TGHU1237083|20 FT|DRY|ZONA</v>
      </c>
    </row>
    <row r="197" spans="1:11" x14ac:dyDescent="0.2">
      <c r="A197">
        <v>196</v>
      </c>
      <c r="C197" t="s">
        <v>72</v>
      </c>
      <c r="D197" s="1">
        <v>5616393</v>
      </c>
      <c r="E197" t="s">
        <v>134</v>
      </c>
      <c r="F197" s="2">
        <v>46057</v>
      </c>
      <c r="I197">
        <f t="shared" si="10"/>
        <v>7</v>
      </c>
      <c r="J197" t="str">
        <f t="shared" si="11"/>
        <v>INKU5616393|46057|</v>
      </c>
      <c r="K197" t="str">
        <f t="shared" si="9"/>
        <v>INKU5616393|40 FT|DRY|ZONA</v>
      </c>
    </row>
    <row r="198" spans="1:11" x14ac:dyDescent="0.2">
      <c r="A198">
        <v>197</v>
      </c>
      <c r="C198" t="s">
        <v>38</v>
      </c>
      <c r="D198" s="1">
        <v>5548102</v>
      </c>
      <c r="E198" t="s">
        <v>134</v>
      </c>
      <c r="F198" s="2">
        <v>46057</v>
      </c>
      <c r="I198">
        <f t="shared" si="10"/>
        <v>7</v>
      </c>
      <c r="J198" t="str">
        <f t="shared" si="11"/>
        <v>TRLU5548102|46057|</v>
      </c>
      <c r="K198" t="str">
        <f t="shared" si="9"/>
        <v>TRLU5548102|40 FT|DRY|ZONA</v>
      </c>
    </row>
    <row r="199" spans="1:11" x14ac:dyDescent="0.2">
      <c r="A199">
        <v>198</v>
      </c>
      <c r="C199" t="s">
        <v>73</v>
      </c>
      <c r="D199" s="1">
        <v>9876510</v>
      </c>
      <c r="E199" t="s">
        <v>134</v>
      </c>
      <c r="F199" s="2">
        <v>46057</v>
      </c>
      <c r="I199">
        <f t="shared" si="10"/>
        <v>7</v>
      </c>
      <c r="J199" t="str">
        <f t="shared" si="11"/>
        <v>TCKU9876510|46057|</v>
      </c>
      <c r="K199" t="str">
        <f t="shared" si="9"/>
        <v>TCKU9876510|40 FT|DRY|ZONA</v>
      </c>
    </row>
    <row r="200" spans="1:11" x14ac:dyDescent="0.2">
      <c r="A200">
        <v>199</v>
      </c>
      <c r="C200" t="s">
        <v>74</v>
      </c>
      <c r="D200" s="1">
        <v>7109793</v>
      </c>
      <c r="E200" t="s">
        <v>134</v>
      </c>
      <c r="F200" s="2">
        <v>46057</v>
      </c>
      <c r="I200">
        <f t="shared" si="10"/>
        <v>7</v>
      </c>
      <c r="J200" t="str">
        <f t="shared" si="11"/>
        <v>KPHU7109793|46057|</v>
      </c>
      <c r="K200" t="str">
        <f t="shared" si="9"/>
        <v>KPHU7109793|40 FT|DRY|ZONA</v>
      </c>
    </row>
    <row r="201" spans="1:11" x14ac:dyDescent="0.2">
      <c r="A201">
        <v>200</v>
      </c>
      <c r="C201" t="s">
        <v>75</v>
      </c>
      <c r="D201" s="1">
        <v>1662557</v>
      </c>
      <c r="E201" t="s">
        <v>149</v>
      </c>
      <c r="F201" s="2">
        <v>46057</v>
      </c>
      <c r="I201">
        <f t="shared" si="10"/>
        <v>7</v>
      </c>
      <c r="J201" t="str">
        <f t="shared" si="11"/>
        <v>CMAU1662557|46057|</v>
      </c>
      <c r="K201" t="str">
        <f t="shared" si="9"/>
        <v>CMAU1662557|20 FT|DRY|ZONA</v>
      </c>
    </row>
    <row r="202" spans="1:11" x14ac:dyDescent="0.2">
      <c r="A202">
        <v>201</v>
      </c>
      <c r="C202" t="s">
        <v>14</v>
      </c>
      <c r="D202" s="1" t="s">
        <v>76</v>
      </c>
      <c r="E202" t="s">
        <v>149</v>
      </c>
      <c r="F202" s="2">
        <v>46059</v>
      </c>
      <c r="G202" s="2">
        <v>46059</v>
      </c>
      <c r="I202">
        <f t="shared" si="10"/>
        <v>7</v>
      </c>
      <c r="J202" t="str">
        <f t="shared" si="11"/>
        <v>WHLU0302969|46059|46059</v>
      </c>
      <c r="K202" t="str">
        <f t="shared" si="9"/>
        <v>WHLU0302969|20 FT|DRY|ZONA</v>
      </c>
    </row>
    <row r="203" spans="1:11" x14ac:dyDescent="0.2">
      <c r="A203">
        <v>202</v>
      </c>
      <c r="C203" t="s">
        <v>29</v>
      </c>
      <c r="D203" s="1">
        <v>1976356</v>
      </c>
      <c r="E203" t="s">
        <v>149</v>
      </c>
      <c r="F203" s="2">
        <v>46059</v>
      </c>
      <c r="G203" s="2">
        <v>46178</v>
      </c>
      <c r="I203">
        <f t="shared" si="10"/>
        <v>7</v>
      </c>
      <c r="J203" t="str">
        <f t="shared" si="11"/>
        <v>CRXU1976356|46059|46178</v>
      </c>
      <c r="K203" t="str">
        <f t="shared" si="9"/>
        <v>CRXU1976356|20 FT|DRY|ZONA</v>
      </c>
    </row>
    <row r="204" spans="1:11" x14ac:dyDescent="0.2">
      <c r="A204">
        <v>203</v>
      </c>
      <c r="C204" t="s">
        <v>16</v>
      </c>
      <c r="D204" s="1">
        <v>9583863</v>
      </c>
      <c r="E204" t="s">
        <v>134</v>
      </c>
      <c r="F204" s="2">
        <v>46059</v>
      </c>
      <c r="I204">
        <f t="shared" si="10"/>
        <v>7</v>
      </c>
      <c r="J204" t="str">
        <f t="shared" si="11"/>
        <v>ECMU9583863|46059|</v>
      </c>
      <c r="K204" t="str">
        <f t="shared" ref="K204:K267" si="12">C204&amp;D204&amp;"|"&amp;E204&amp;"|"&amp;"DRY"&amp;"|"&amp;"ZONA"</f>
        <v>ECMU9583863|40 FT|DRY|ZONA</v>
      </c>
    </row>
    <row r="205" spans="1:11" x14ac:dyDescent="0.2">
      <c r="A205">
        <v>204</v>
      </c>
      <c r="C205" t="s">
        <v>25</v>
      </c>
      <c r="D205" s="1">
        <v>9138652</v>
      </c>
      <c r="E205" t="s">
        <v>134</v>
      </c>
      <c r="F205" s="2">
        <v>46059</v>
      </c>
      <c r="I205">
        <f t="shared" si="10"/>
        <v>7</v>
      </c>
      <c r="J205" t="str">
        <f t="shared" si="11"/>
        <v>DRYU9138652|46059|</v>
      </c>
      <c r="K205" t="str">
        <f t="shared" si="12"/>
        <v>DRYU9138652|40 FT|DRY|ZONA</v>
      </c>
    </row>
    <row r="206" spans="1:11" x14ac:dyDescent="0.2">
      <c r="A206">
        <v>205</v>
      </c>
      <c r="C206" t="s">
        <v>53</v>
      </c>
      <c r="D206" s="1">
        <v>9360911</v>
      </c>
      <c r="E206" t="s">
        <v>134</v>
      </c>
      <c r="F206" s="2">
        <v>46060</v>
      </c>
      <c r="I206">
        <f t="shared" si="10"/>
        <v>7</v>
      </c>
      <c r="J206" t="str">
        <f t="shared" si="11"/>
        <v>CAXU9360911|46060|</v>
      </c>
      <c r="K206" t="str">
        <f t="shared" si="12"/>
        <v>CAXU9360911|40 FT|DRY|ZONA</v>
      </c>
    </row>
    <row r="207" spans="1:11" x14ac:dyDescent="0.2">
      <c r="A207">
        <v>206</v>
      </c>
      <c r="C207" t="s">
        <v>31</v>
      </c>
      <c r="D207" s="1">
        <v>6168328</v>
      </c>
      <c r="E207" t="s">
        <v>134</v>
      </c>
      <c r="F207" s="2">
        <v>46058</v>
      </c>
      <c r="I207">
        <f t="shared" si="10"/>
        <v>7</v>
      </c>
      <c r="J207" t="str">
        <f t="shared" si="11"/>
        <v>CCLU6168328|46058|</v>
      </c>
      <c r="K207" t="str">
        <f t="shared" si="12"/>
        <v>CCLU6168328|40 FT|DRY|ZONA</v>
      </c>
    </row>
    <row r="208" spans="1:11" x14ac:dyDescent="0.2">
      <c r="A208">
        <v>207</v>
      </c>
      <c r="C208" t="s">
        <v>10</v>
      </c>
      <c r="D208" s="1">
        <v>1611568</v>
      </c>
      <c r="E208" t="s">
        <v>149</v>
      </c>
      <c r="F208" s="2">
        <v>46060</v>
      </c>
      <c r="I208">
        <f t="shared" si="10"/>
        <v>7</v>
      </c>
      <c r="J208" t="str">
        <f t="shared" si="11"/>
        <v>OOLU1611568|46060|</v>
      </c>
      <c r="K208" t="str">
        <f t="shared" si="12"/>
        <v>OOLU1611568|20 FT|DRY|ZONA</v>
      </c>
    </row>
    <row r="209" spans="1:11" x14ac:dyDescent="0.2">
      <c r="A209">
        <v>208</v>
      </c>
      <c r="C209" t="s">
        <v>10</v>
      </c>
      <c r="D209" s="1">
        <v>1551638</v>
      </c>
      <c r="E209" t="s">
        <v>149</v>
      </c>
      <c r="F209" s="2">
        <v>46060</v>
      </c>
      <c r="G209" s="2">
        <v>46254</v>
      </c>
      <c r="I209">
        <f t="shared" si="10"/>
        <v>7</v>
      </c>
      <c r="J209" t="str">
        <f t="shared" si="11"/>
        <v>OOLU1551638|46060|46254</v>
      </c>
      <c r="K209" t="str">
        <f t="shared" si="12"/>
        <v>OOLU1551638|20 FT|DRY|ZONA</v>
      </c>
    </row>
    <row r="210" spans="1:11" x14ac:dyDescent="0.2">
      <c r="A210">
        <v>209</v>
      </c>
      <c r="C210" t="s">
        <v>26</v>
      </c>
      <c r="D210" s="1" t="s">
        <v>77</v>
      </c>
      <c r="E210" t="s">
        <v>149</v>
      </c>
      <c r="F210" s="2">
        <v>46059</v>
      </c>
      <c r="G210" s="2">
        <v>46229</v>
      </c>
      <c r="I210">
        <f t="shared" si="10"/>
        <v>7</v>
      </c>
      <c r="J210" t="str">
        <f t="shared" si="11"/>
        <v>GATU0162973|46059|46229</v>
      </c>
      <c r="K210" t="str">
        <f t="shared" si="12"/>
        <v>GATU0162973|20 FT|DRY|ZONA</v>
      </c>
    </row>
    <row r="211" spans="1:11" x14ac:dyDescent="0.2">
      <c r="A211">
        <v>210</v>
      </c>
      <c r="C211" t="s">
        <v>18</v>
      </c>
      <c r="D211" s="1">
        <v>7693300</v>
      </c>
      <c r="E211" t="s">
        <v>149</v>
      </c>
      <c r="F211" s="2">
        <v>46060</v>
      </c>
      <c r="G211" s="2">
        <v>46221</v>
      </c>
      <c r="I211">
        <f t="shared" si="10"/>
        <v>7</v>
      </c>
      <c r="J211" t="str">
        <f t="shared" si="11"/>
        <v>KKTU7693300|46060|46221</v>
      </c>
      <c r="K211" t="str">
        <f t="shared" si="12"/>
        <v>KKTU7693300|20 FT|DRY|ZONA</v>
      </c>
    </row>
    <row r="212" spans="1:11" x14ac:dyDescent="0.2">
      <c r="A212">
        <v>211</v>
      </c>
      <c r="C212" t="s">
        <v>41</v>
      </c>
      <c r="D212" s="1">
        <v>2473067</v>
      </c>
      <c r="E212" t="s">
        <v>149</v>
      </c>
      <c r="F212" s="2">
        <v>46060</v>
      </c>
      <c r="G212" s="2">
        <v>46229</v>
      </c>
      <c r="I212">
        <f t="shared" si="10"/>
        <v>7</v>
      </c>
      <c r="J212" t="str">
        <f t="shared" si="11"/>
        <v>BMOU2473067|46060|46229</v>
      </c>
      <c r="K212" t="str">
        <f t="shared" si="12"/>
        <v>BMOU2473067|20 FT|DRY|ZONA</v>
      </c>
    </row>
    <row r="213" spans="1:11" x14ac:dyDescent="0.2">
      <c r="A213">
        <v>212</v>
      </c>
      <c r="C213" t="s">
        <v>78</v>
      </c>
      <c r="D213" s="1">
        <v>3895064</v>
      </c>
      <c r="E213" t="s">
        <v>149</v>
      </c>
      <c r="F213" s="2">
        <v>46060</v>
      </c>
      <c r="I213">
        <f t="shared" si="10"/>
        <v>7</v>
      </c>
      <c r="J213" t="str">
        <f t="shared" si="11"/>
        <v>INBU3895064|46060|</v>
      </c>
      <c r="K213" t="str">
        <f t="shared" si="12"/>
        <v>INBU3895064|20 FT|DRY|ZONA</v>
      </c>
    </row>
    <row r="214" spans="1:11" x14ac:dyDescent="0.2">
      <c r="A214">
        <v>213</v>
      </c>
      <c r="C214" t="s">
        <v>9</v>
      </c>
      <c r="D214" s="1">
        <v>2922510</v>
      </c>
      <c r="E214" t="s">
        <v>149</v>
      </c>
      <c r="F214" s="2">
        <v>46060</v>
      </c>
      <c r="G214" s="2">
        <v>46231</v>
      </c>
      <c r="I214">
        <f t="shared" si="10"/>
        <v>7</v>
      </c>
      <c r="J214" t="str">
        <f t="shared" si="11"/>
        <v>FCIU2922510|46060|46231</v>
      </c>
      <c r="K214" t="str">
        <f t="shared" si="12"/>
        <v>FCIU2922510|20 FT|DRY|ZONA</v>
      </c>
    </row>
    <row r="215" spans="1:11" x14ac:dyDescent="0.2">
      <c r="A215">
        <v>214</v>
      </c>
      <c r="C215" t="s">
        <v>10</v>
      </c>
      <c r="D215" s="1">
        <v>1377207</v>
      </c>
      <c r="E215" t="s">
        <v>149</v>
      </c>
      <c r="F215" s="2">
        <v>46060</v>
      </c>
      <c r="I215">
        <f t="shared" si="10"/>
        <v>7</v>
      </c>
      <c r="J215" t="str">
        <f t="shared" si="11"/>
        <v>OOLU1377207|46060|</v>
      </c>
      <c r="K215" t="str">
        <f t="shared" si="12"/>
        <v>OOLU1377207|20 FT|DRY|ZONA</v>
      </c>
    </row>
    <row r="216" spans="1:11" x14ac:dyDescent="0.2">
      <c r="A216">
        <v>215</v>
      </c>
      <c r="C216" t="s">
        <v>36</v>
      </c>
      <c r="D216" s="1">
        <v>1714430</v>
      </c>
      <c r="E216" t="s">
        <v>149</v>
      </c>
      <c r="F216" s="2">
        <v>46065</v>
      </c>
      <c r="G216" s="2">
        <v>46243</v>
      </c>
      <c r="I216">
        <f t="shared" si="10"/>
        <v>7</v>
      </c>
      <c r="J216" t="str">
        <f t="shared" si="11"/>
        <v>CXDU1714430|46065|46243</v>
      </c>
      <c r="K216" t="str">
        <f t="shared" si="12"/>
        <v>CXDU1714430|20 FT|DRY|ZONA</v>
      </c>
    </row>
    <row r="217" spans="1:11" x14ac:dyDescent="0.2">
      <c r="A217">
        <v>216</v>
      </c>
      <c r="C217" t="s">
        <v>79</v>
      </c>
      <c r="D217" s="1">
        <v>2009330</v>
      </c>
      <c r="E217" t="s">
        <v>149</v>
      </c>
      <c r="F217" s="2">
        <v>46065</v>
      </c>
      <c r="I217">
        <f t="shared" si="10"/>
        <v>7</v>
      </c>
      <c r="J217" t="str">
        <f t="shared" si="11"/>
        <v>SNTU2009330|46065|</v>
      </c>
      <c r="K217" t="str">
        <f t="shared" si="12"/>
        <v>SNTU2009330|20 FT|DRY|ZONA</v>
      </c>
    </row>
    <row r="218" spans="1:11" x14ac:dyDescent="0.2">
      <c r="A218">
        <v>217</v>
      </c>
      <c r="C218" t="s">
        <v>60</v>
      </c>
      <c r="D218" s="1">
        <v>2296934</v>
      </c>
      <c r="E218" t="s">
        <v>149</v>
      </c>
      <c r="F218" s="2">
        <v>46065</v>
      </c>
      <c r="I218">
        <f t="shared" si="10"/>
        <v>7</v>
      </c>
      <c r="J218" t="str">
        <f t="shared" si="11"/>
        <v>DFSU2296934|46065|</v>
      </c>
      <c r="K218" t="str">
        <f t="shared" si="12"/>
        <v>DFSU2296934|20 FT|DRY|ZONA</v>
      </c>
    </row>
    <row r="219" spans="1:11" x14ac:dyDescent="0.2">
      <c r="A219">
        <v>218</v>
      </c>
      <c r="C219" t="s">
        <v>80</v>
      </c>
      <c r="D219" s="1">
        <v>8580456</v>
      </c>
      <c r="E219" t="s">
        <v>149</v>
      </c>
      <c r="F219" s="2">
        <v>46065</v>
      </c>
      <c r="I219">
        <f t="shared" si="10"/>
        <v>7</v>
      </c>
      <c r="J219" t="str">
        <f t="shared" si="11"/>
        <v>UGMU8580456|46065|</v>
      </c>
      <c r="K219" t="str">
        <f t="shared" si="12"/>
        <v>UGMU8580456|20 FT|DRY|ZONA</v>
      </c>
    </row>
    <row r="220" spans="1:11" x14ac:dyDescent="0.2">
      <c r="A220">
        <v>219</v>
      </c>
      <c r="C220" t="s">
        <v>30</v>
      </c>
      <c r="D220" s="1">
        <v>1248756</v>
      </c>
      <c r="E220" t="s">
        <v>149</v>
      </c>
      <c r="F220" s="2">
        <v>46064</v>
      </c>
      <c r="I220">
        <f t="shared" si="10"/>
        <v>7</v>
      </c>
      <c r="J220" t="str">
        <f t="shared" si="11"/>
        <v>CSLU1248756|46064|</v>
      </c>
      <c r="K220" t="str">
        <f t="shared" si="12"/>
        <v>CSLU1248756|20 FT|DRY|ZONA</v>
      </c>
    </row>
    <row r="221" spans="1:11" x14ac:dyDescent="0.2">
      <c r="A221">
        <v>220</v>
      </c>
      <c r="C221" t="s">
        <v>66</v>
      </c>
      <c r="D221" s="1">
        <v>1620091</v>
      </c>
      <c r="E221" t="s">
        <v>149</v>
      </c>
      <c r="F221" s="2">
        <v>46064</v>
      </c>
      <c r="G221" s="2">
        <v>46232</v>
      </c>
      <c r="I221">
        <f t="shared" si="10"/>
        <v>7</v>
      </c>
      <c r="J221" t="str">
        <f t="shared" si="11"/>
        <v>WSCU1620091|46064|46232</v>
      </c>
      <c r="K221" t="str">
        <f t="shared" si="12"/>
        <v>WSCU1620091|20 FT|DRY|ZONA</v>
      </c>
    </row>
    <row r="222" spans="1:11" x14ac:dyDescent="0.2">
      <c r="A222">
        <v>221</v>
      </c>
      <c r="C222" t="s">
        <v>81</v>
      </c>
      <c r="D222" s="1">
        <v>3233255</v>
      </c>
      <c r="E222" t="s">
        <v>149</v>
      </c>
      <c r="F222" s="2">
        <v>46064</v>
      </c>
      <c r="I222">
        <f t="shared" si="10"/>
        <v>7</v>
      </c>
      <c r="J222" t="str">
        <f t="shared" si="11"/>
        <v>MSCU3233255|46064|</v>
      </c>
      <c r="K222" t="str">
        <f t="shared" si="12"/>
        <v>MSCU3233255|20 FT|DRY|ZONA</v>
      </c>
    </row>
    <row r="223" spans="1:11" x14ac:dyDescent="0.2">
      <c r="A223">
        <v>222</v>
      </c>
      <c r="C223" t="s">
        <v>5</v>
      </c>
      <c r="D223" s="1">
        <v>3320474</v>
      </c>
      <c r="E223" t="s">
        <v>149</v>
      </c>
      <c r="F223" s="2">
        <v>46064</v>
      </c>
      <c r="G223" s="2">
        <v>46211</v>
      </c>
      <c r="I223">
        <f t="shared" si="10"/>
        <v>7</v>
      </c>
      <c r="J223" t="str">
        <f t="shared" si="11"/>
        <v>TGHU3320474|46064|46211</v>
      </c>
      <c r="K223" t="str">
        <f t="shared" si="12"/>
        <v>TGHU3320474|20 FT|DRY|ZONA</v>
      </c>
    </row>
    <row r="224" spans="1:11" x14ac:dyDescent="0.2">
      <c r="A224">
        <v>223</v>
      </c>
      <c r="C224" t="s">
        <v>41</v>
      </c>
      <c r="D224" s="1">
        <v>2005913</v>
      </c>
      <c r="E224" t="s">
        <v>149</v>
      </c>
      <c r="F224" s="2">
        <v>46064</v>
      </c>
      <c r="I224">
        <f t="shared" si="10"/>
        <v>7</v>
      </c>
      <c r="J224" t="str">
        <f t="shared" si="11"/>
        <v>BMOU2005913|46064|</v>
      </c>
      <c r="K224" t="str">
        <f t="shared" si="12"/>
        <v>BMOU2005913|20 FT|DRY|ZONA</v>
      </c>
    </row>
    <row r="225" spans="1:11" x14ac:dyDescent="0.2">
      <c r="A225">
        <v>224</v>
      </c>
      <c r="C225" t="s">
        <v>14</v>
      </c>
      <c r="D225" s="1" t="s">
        <v>82</v>
      </c>
      <c r="E225" t="s">
        <v>149</v>
      </c>
      <c r="F225" s="2">
        <v>46064</v>
      </c>
      <c r="I225">
        <f t="shared" si="10"/>
        <v>7</v>
      </c>
      <c r="J225" t="str">
        <f t="shared" si="11"/>
        <v>WHLU0328182|46064|</v>
      </c>
      <c r="K225" t="str">
        <f t="shared" si="12"/>
        <v>WHLU0328182|20 FT|DRY|ZONA</v>
      </c>
    </row>
    <row r="226" spans="1:11" x14ac:dyDescent="0.2">
      <c r="A226">
        <v>225</v>
      </c>
      <c r="C226" t="s">
        <v>38</v>
      </c>
      <c r="D226" s="1">
        <v>3680188</v>
      </c>
      <c r="E226" t="s">
        <v>149</v>
      </c>
      <c r="F226" s="2">
        <v>46064</v>
      </c>
      <c r="I226">
        <f t="shared" si="10"/>
        <v>7</v>
      </c>
      <c r="J226" t="str">
        <f t="shared" si="11"/>
        <v>TRLU3680188|46064|</v>
      </c>
      <c r="K226" t="str">
        <f t="shared" si="12"/>
        <v>TRLU3680188|20 FT|DRY|ZONA</v>
      </c>
    </row>
    <row r="227" spans="1:11" x14ac:dyDescent="0.2">
      <c r="A227">
        <v>226</v>
      </c>
      <c r="C227" t="s">
        <v>10</v>
      </c>
      <c r="D227" s="1">
        <v>1373156</v>
      </c>
      <c r="E227" t="s">
        <v>149</v>
      </c>
      <c r="F227" s="2">
        <v>46064</v>
      </c>
      <c r="G227" s="2">
        <v>46259</v>
      </c>
      <c r="I227">
        <f t="shared" si="10"/>
        <v>7</v>
      </c>
      <c r="J227" t="str">
        <f t="shared" si="11"/>
        <v>OOLU1373156|46064|46259</v>
      </c>
      <c r="K227" t="str">
        <f t="shared" si="12"/>
        <v>OOLU1373156|20 FT|DRY|ZONA</v>
      </c>
    </row>
    <row r="228" spans="1:11" x14ac:dyDescent="0.2">
      <c r="A228">
        <v>227</v>
      </c>
      <c r="C228" t="s">
        <v>5</v>
      </c>
      <c r="D228" s="1">
        <v>9095827</v>
      </c>
      <c r="E228" t="s">
        <v>134</v>
      </c>
      <c r="F228" s="2">
        <v>46064</v>
      </c>
      <c r="I228">
        <f t="shared" si="10"/>
        <v>7</v>
      </c>
      <c r="J228" t="str">
        <f t="shared" si="11"/>
        <v>TGHU9095827|46064|</v>
      </c>
      <c r="K228" t="str">
        <f t="shared" si="12"/>
        <v>TGHU9095827|40 FT|DRY|ZONA</v>
      </c>
    </row>
    <row r="229" spans="1:11" x14ac:dyDescent="0.2">
      <c r="A229">
        <v>228</v>
      </c>
      <c r="C229" t="s">
        <v>83</v>
      </c>
      <c r="D229" s="1">
        <v>1408367</v>
      </c>
      <c r="E229" t="s">
        <v>134</v>
      </c>
      <c r="F229" s="2">
        <v>46064</v>
      </c>
      <c r="I229">
        <f t="shared" si="10"/>
        <v>7</v>
      </c>
      <c r="J229" t="str">
        <f t="shared" si="11"/>
        <v>EITU1408367|46064|</v>
      </c>
      <c r="K229" t="str">
        <f t="shared" si="12"/>
        <v>EITU1408367|40 FT|DRY|ZONA</v>
      </c>
    </row>
    <row r="230" spans="1:11" x14ac:dyDescent="0.2">
      <c r="A230">
        <v>229</v>
      </c>
      <c r="C230" t="s">
        <v>33</v>
      </c>
      <c r="D230" s="1">
        <v>3002816</v>
      </c>
      <c r="E230" t="s">
        <v>149</v>
      </c>
      <c r="F230" s="2">
        <v>46064</v>
      </c>
      <c r="G230" s="2">
        <v>46250</v>
      </c>
      <c r="I230">
        <f t="shared" si="10"/>
        <v>7</v>
      </c>
      <c r="J230" t="str">
        <f t="shared" si="11"/>
        <v>CAIU3002816|46064|46250</v>
      </c>
      <c r="K230" t="str">
        <f t="shared" si="12"/>
        <v>CAIU3002816|20 FT|DRY|ZONA</v>
      </c>
    </row>
    <row r="231" spans="1:11" x14ac:dyDescent="0.2">
      <c r="A231">
        <v>230</v>
      </c>
      <c r="C231" t="s">
        <v>84</v>
      </c>
      <c r="D231" s="1">
        <v>9609518</v>
      </c>
      <c r="E231" t="s">
        <v>134</v>
      </c>
      <c r="F231" s="2">
        <v>46063</v>
      </c>
      <c r="I231">
        <f t="shared" si="10"/>
        <v>7</v>
      </c>
      <c r="J231" t="str">
        <f t="shared" si="11"/>
        <v>TCNU9609518|46063|</v>
      </c>
      <c r="K231" t="str">
        <f t="shared" si="12"/>
        <v>TCNU9609518|40 FT|DRY|ZONA</v>
      </c>
    </row>
    <row r="232" spans="1:11" x14ac:dyDescent="0.2">
      <c r="A232">
        <v>231</v>
      </c>
      <c r="C232" t="s">
        <v>14</v>
      </c>
      <c r="D232" s="1">
        <v>2750453</v>
      </c>
      <c r="E232" t="s">
        <v>149</v>
      </c>
      <c r="F232" s="2">
        <v>46063</v>
      </c>
      <c r="G232" s="2">
        <v>46233</v>
      </c>
      <c r="I232">
        <f t="shared" si="10"/>
        <v>7</v>
      </c>
      <c r="J232" t="str">
        <f t="shared" si="11"/>
        <v>WHLU2750453|46063|46233</v>
      </c>
      <c r="K232" t="str">
        <f t="shared" si="12"/>
        <v>WHLU2750453|20 FT|DRY|ZONA</v>
      </c>
    </row>
    <row r="233" spans="1:11" x14ac:dyDescent="0.2">
      <c r="A233">
        <v>232</v>
      </c>
      <c r="C233" t="s">
        <v>34</v>
      </c>
      <c r="D233" s="1">
        <v>1414719</v>
      </c>
      <c r="E233" t="s">
        <v>149</v>
      </c>
      <c r="F233" s="2">
        <v>46063</v>
      </c>
      <c r="G233" s="2">
        <v>46243</v>
      </c>
      <c r="I233">
        <f t="shared" si="10"/>
        <v>7</v>
      </c>
      <c r="J233" t="str">
        <f t="shared" si="11"/>
        <v>SEGU1414719|46063|46243</v>
      </c>
      <c r="K233" t="str">
        <f t="shared" si="12"/>
        <v>SEGU1414719|20 FT|DRY|ZONA</v>
      </c>
    </row>
    <row r="234" spans="1:11" x14ac:dyDescent="0.2">
      <c r="A234">
        <v>233</v>
      </c>
      <c r="C234" t="s">
        <v>75</v>
      </c>
      <c r="D234" s="1">
        <v>1729706</v>
      </c>
      <c r="E234" t="s">
        <v>149</v>
      </c>
      <c r="F234" s="2">
        <v>46063</v>
      </c>
      <c r="I234">
        <f t="shared" si="10"/>
        <v>7</v>
      </c>
      <c r="J234" t="str">
        <f t="shared" si="11"/>
        <v>CMAU1729706|46063|</v>
      </c>
      <c r="K234" t="str">
        <f t="shared" si="12"/>
        <v>CMAU1729706|20 FT|DRY|ZONA</v>
      </c>
    </row>
    <row r="235" spans="1:11" x14ac:dyDescent="0.2">
      <c r="A235">
        <v>234</v>
      </c>
      <c r="C235" t="s">
        <v>25</v>
      </c>
      <c r="D235" s="1">
        <v>9919974</v>
      </c>
      <c r="E235" t="s">
        <v>134</v>
      </c>
      <c r="F235" s="2">
        <v>46062</v>
      </c>
      <c r="I235">
        <f t="shared" si="10"/>
        <v>7</v>
      </c>
      <c r="J235" t="str">
        <f t="shared" si="11"/>
        <v>DRYU9919974|46062|</v>
      </c>
      <c r="K235" t="str">
        <f t="shared" si="12"/>
        <v>DRYU9919974|40 FT|DRY|ZONA</v>
      </c>
    </row>
    <row r="236" spans="1:11" x14ac:dyDescent="0.2">
      <c r="A236">
        <v>235</v>
      </c>
      <c r="C236" t="s">
        <v>85</v>
      </c>
      <c r="D236" s="1">
        <v>7362381</v>
      </c>
      <c r="E236" t="s">
        <v>149</v>
      </c>
      <c r="F236" s="2">
        <v>46065</v>
      </c>
      <c r="G236" s="2">
        <v>46250</v>
      </c>
      <c r="I236">
        <f t="shared" si="10"/>
        <v>7</v>
      </c>
      <c r="J236" t="str">
        <f t="shared" si="11"/>
        <v>KMTU7362381|46065|46250</v>
      </c>
      <c r="K236" t="str">
        <f t="shared" si="12"/>
        <v>KMTU7362381|20 FT|DRY|ZONA</v>
      </c>
    </row>
    <row r="237" spans="1:11" x14ac:dyDescent="0.2">
      <c r="A237">
        <v>236</v>
      </c>
      <c r="C237" t="s">
        <v>28</v>
      </c>
      <c r="D237" s="1">
        <v>8134330</v>
      </c>
      <c r="E237" t="s">
        <v>149</v>
      </c>
      <c r="F237" s="2">
        <v>46066</v>
      </c>
      <c r="I237">
        <f t="shared" si="10"/>
        <v>7</v>
      </c>
      <c r="J237" t="str">
        <f t="shared" si="11"/>
        <v>FORU8134330|46066|</v>
      </c>
      <c r="K237" t="str">
        <f t="shared" si="12"/>
        <v>FORU8134330|20 FT|DRY|ZONA</v>
      </c>
    </row>
    <row r="238" spans="1:11" x14ac:dyDescent="0.2">
      <c r="A238">
        <v>237</v>
      </c>
      <c r="C238" t="s">
        <v>53</v>
      </c>
      <c r="D238" s="1">
        <v>9357667</v>
      </c>
      <c r="E238" t="s">
        <v>134</v>
      </c>
      <c r="F238" s="2">
        <v>46068</v>
      </c>
      <c r="I238">
        <f t="shared" si="10"/>
        <v>7</v>
      </c>
      <c r="J238" t="str">
        <f t="shared" si="11"/>
        <v>CAXU9357667|46068|</v>
      </c>
      <c r="K238" t="str">
        <f t="shared" si="12"/>
        <v>CAXU9357667|40 FT|DRY|ZONA</v>
      </c>
    </row>
    <row r="239" spans="1:11" x14ac:dyDescent="0.2">
      <c r="A239">
        <v>238</v>
      </c>
      <c r="C239" t="s">
        <v>20</v>
      </c>
      <c r="D239" s="1" t="s">
        <v>86</v>
      </c>
      <c r="E239" t="s">
        <v>134</v>
      </c>
      <c r="F239" s="2">
        <v>46066</v>
      </c>
      <c r="G239" s="2">
        <v>46267</v>
      </c>
      <c r="I239">
        <f t="shared" si="10"/>
        <v>7</v>
      </c>
      <c r="J239" t="str">
        <f t="shared" si="11"/>
        <v>GLDU0653963|46066|46267</v>
      </c>
      <c r="K239" t="str">
        <f t="shared" si="12"/>
        <v>GLDU0653963|40 FT|DRY|ZONA</v>
      </c>
    </row>
    <row r="240" spans="1:11" x14ac:dyDescent="0.2">
      <c r="A240">
        <v>239</v>
      </c>
      <c r="C240" t="s">
        <v>10</v>
      </c>
      <c r="D240" s="1">
        <v>1683568</v>
      </c>
      <c r="E240" t="s">
        <v>149</v>
      </c>
      <c r="F240" s="2">
        <v>46066</v>
      </c>
      <c r="I240">
        <f t="shared" si="10"/>
        <v>7</v>
      </c>
      <c r="J240" t="str">
        <f t="shared" si="11"/>
        <v>OOLU1683568|46066|</v>
      </c>
      <c r="K240" t="str">
        <f t="shared" si="12"/>
        <v>OOLU1683568|20 FT|DRY|ZONA</v>
      </c>
    </row>
    <row r="241" spans="1:11" x14ac:dyDescent="0.2">
      <c r="A241">
        <v>240</v>
      </c>
      <c r="C241" t="s">
        <v>36</v>
      </c>
      <c r="D241" s="1">
        <v>1188547</v>
      </c>
      <c r="E241" t="s">
        <v>149</v>
      </c>
      <c r="F241" s="2">
        <v>46067</v>
      </c>
      <c r="G241" s="2">
        <v>46243</v>
      </c>
      <c r="I241">
        <f t="shared" si="10"/>
        <v>7</v>
      </c>
      <c r="J241" t="str">
        <f t="shared" si="11"/>
        <v>CXDU1188547|46067|46243</v>
      </c>
      <c r="K241" t="str">
        <f t="shared" si="12"/>
        <v>CXDU1188547|20 FT|DRY|ZONA</v>
      </c>
    </row>
    <row r="242" spans="1:11" x14ac:dyDescent="0.2">
      <c r="A242">
        <v>241</v>
      </c>
      <c r="C242" t="s">
        <v>53</v>
      </c>
      <c r="D242" s="1">
        <v>9263315</v>
      </c>
      <c r="E242" t="s">
        <v>134</v>
      </c>
      <c r="F242" s="2">
        <v>46067</v>
      </c>
      <c r="G242" s="2">
        <v>46068</v>
      </c>
      <c r="I242">
        <f t="shared" si="10"/>
        <v>7</v>
      </c>
      <c r="J242" t="str">
        <f t="shared" si="11"/>
        <v>CAXU9263315|46067|46068</v>
      </c>
      <c r="K242" t="str">
        <f t="shared" si="12"/>
        <v>CAXU9263315|40 FT|DRY|ZONA</v>
      </c>
    </row>
    <row r="243" spans="1:11" x14ac:dyDescent="0.2">
      <c r="A243">
        <v>242</v>
      </c>
      <c r="C243" t="s">
        <v>36</v>
      </c>
      <c r="D243" s="1">
        <v>1285742</v>
      </c>
      <c r="E243" t="s">
        <v>149</v>
      </c>
      <c r="F243" s="2">
        <v>46066</v>
      </c>
      <c r="G243" s="2">
        <v>46241</v>
      </c>
      <c r="I243">
        <f t="shared" si="10"/>
        <v>7</v>
      </c>
      <c r="J243" t="str">
        <f t="shared" si="11"/>
        <v>CXDU1285742|46066|46241</v>
      </c>
      <c r="K243" t="str">
        <f t="shared" si="12"/>
        <v>CXDU1285742|20 FT|DRY|ZONA</v>
      </c>
    </row>
    <row r="244" spans="1:11" x14ac:dyDescent="0.2">
      <c r="A244">
        <v>243</v>
      </c>
      <c r="C244" t="s">
        <v>10</v>
      </c>
      <c r="D244" s="1">
        <v>1731120</v>
      </c>
      <c r="E244" t="s">
        <v>149</v>
      </c>
      <c r="F244" s="2">
        <v>46066</v>
      </c>
      <c r="G244" s="2">
        <v>46243</v>
      </c>
      <c r="I244">
        <f t="shared" si="10"/>
        <v>7</v>
      </c>
      <c r="J244" t="str">
        <f t="shared" si="11"/>
        <v>OOLU1731120|46066|46243</v>
      </c>
      <c r="K244" t="str">
        <f t="shared" si="12"/>
        <v>OOLU1731120|20 FT|DRY|ZONA</v>
      </c>
    </row>
    <row r="245" spans="1:11" x14ac:dyDescent="0.2">
      <c r="A245">
        <v>244</v>
      </c>
      <c r="C245" t="s">
        <v>26</v>
      </c>
      <c r="D245" s="1">
        <v>1328713</v>
      </c>
      <c r="E245" t="s">
        <v>149</v>
      </c>
      <c r="F245" s="2">
        <v>46073</v>
      </c>
      <c r="I245">
        <f t="shared" si="10"/>
        <v>7</v>
      </c>
      <c r="J245" t="str">
        <f t="shared" si="11"/>
        <v>GATU1328713|46073|</v>
      </c>
      <c r="K245" t="str">
        <f t="shared" si="12"/>
        <v>GATU1328713|20 FT|DRY|ZONA</v>
      </c>
    </row>
    <row r="246" spans="1:11" x14ac:dyDescent="0.2">
      <c r="A246">
        <v>245</v>
      </c>
      <c r="C246" t="s">
        <v>47</v>
      </c>
      <c r="D246" s="1">
        <v>3145585</v>
      </c>
      <c r="E246" t="s">
        <v>149</v>
      </c>
      <c r="F246" s="2">
        <v>46073</v>
      </c>
      <c r="G246" s="2">
        <v>46251</v>
      </c>
      <c r="I246">
        <f t="shared" si="10"/>
        <v>7</v>
      </c>
      <c r="J246" t="str">
        <f t="shared" si="11"/>
        <v>IPXU3145585|46073|46251</v>
      </c>
      <c r="K246" t="str">
        <f t="shared" si="12"/>
        <v>IPXU3145585|20 FT|DRY|ZONA</v>
      </c>
    </row>
    <row r="247" spans="1:11" x14ac:dyDescent="0.2">
      <c r="A247">
        <v>246</v>
      </c>
      <c r="C247" t="s">
        <v>9</v>
      </c>
      <c r="D247" s="1">
        <v>3378843</v>
      </c>
      <c r="E247" t="s">
        <v>149</v>
      </c>
      <c r="F247" s="2">
        <v>46073</v>
      </c>
      <c r="G247" s="2">
        <v>46242</v>
      </c>
      <c r="I247">
        <f t="shared" si="10"/>
        <v>7</v>
      </c>
      <c r="J247" t="str">
        <f t="shared" si="11"/>
        <v>FCIU3378843|46073|46242</v>
      </c>
      <c r="K247" t="str">
        <f t="shared" si="12"/>
        <v>FCIU3378843|20 FT|DRY|ZONA</v>
      </c>
    </row>
    <row r="248" spans="1:11" x14ac:dyDescent="0.2">
      <c r="A248">
        <v>247</v>
      </c>
      <c r="C248" t="s">
        <v>30</v>
      </c>
      <c r="D248" s="1">
        <v>1081653</v>
      </c>
      <c r="E248" t="s">
        <v>149</v>
      </c>
      <c r="F248" s="2">
        <v>46074</v>
      </c>
      <c r="G248" s="2">
        <v>46250</v>
      </c>
      <c r="I248">
        <f t="shared" si="10"/>
        <v>7</v>
      </c>
      <c r="J248" t="str">
        <f t="shared" si="11"/>
        <v>CSLU1081653|46074|46250</v>
      </c>
      <c r="K248" t="str">
        <f t="shared" si="12"/>
        <v>CSLU1081653|20 FT|DRY|ZONA</v>
      </c>
    </row>
    <row r="249" spans="1:11" x14ac:dyDescent="0.2">
      <c r="A249">
        <v>248</v>
      </c>
      <c r="C249" t="s">
        <v>33</v>
      </c>
      <c r="D249" s="1">
        <v>2459705</v>
      </c>
      <c r="E249" t="s">
        <v>149</v>
      </c>
      <c r="F249" s="2">
        <v>46074</v>
      </c>
      <c r="I249">
        <f t="shared" si="10"/>
        <v>7</v>
      </c>
      <c r="J249" t="str">
        <f t="shared" si="11"/>
        <v>CAIU2459705|46074|</v>
      </c>
      <c r="K249" t="str">
        <f t="shared" si="12"/>
        <v>CAIU2459705|20 FT|DRY|ZONA</v>
      </c>
    </row>
    <row r="250" spans="1:11" x14ac:dyDescent="0.2">
      <c r="A250">
        <v>249</v>
      </c>
      <c r="C250" t="s">
        <v>33</v>
      </c>
      <c r="D250" s="1">
        <v>2441809</v>
      </c>
      <c r="E250" t="s">
        <v>149</v>
      </c>
      <c r="F250" s="2">
        <v>46073</v>
      </c>
      <c r="G250" s="2">
        <v>46259</v>
      </c>
      <c r="I250">
        <f t="shared" si="10"/>
        <v>7</v>
      </c>
      <c r="J250" t="str">
        <f t="shared" si="11"/>
        <v>CAIU2441809|46073|46259</v>
      </c>
      <c r="K250" t="str">
        <f t="shared" si="12"/>
        <v>CAIU2441809|20 FT|DRY|ZONA</v>
      </c>
    </row>
    <row r="251" spans="1:11" x14ac:dyDescent="0.2">
      <c r="A251">
        <v>250</v>
      </c>
      <c r="C251" t="s">
        <v>34</v>
      </c>
      <c r="D251" s="1">
        <v>1415452</v>
      </c>
      <c r="E251" t="s">
        <v>149</v>
      </c>
      <c r="F251" s="2">
        <v>46074</v>
      </c>
      <c r="I251">
        <f t="shared" si="10"/>
        <v>7</v>
      </c>
      <c r="J251" t="str">
        <f t="shared" si="11"/>
        <v>SEGU1415452|46074|</v>
      </c>
      <c r="K251" t="str">
        <f t="shared" si="12"/>
        <v>SEGU1415452|20 FT|DRY|ZONA</v>
      </c>
    </row>
    <row r="252" spans="1:11" x14ac:dyDescent="0.2">
      <c r="A252">
        <v>251</v>
      </c>
      <c r="C252" t="s">
        <v>41</v>
      </c>
      <c r="D252" s="1">
        <v>2546841</v>
      </c>
      <c r="E252" t="s">
        <v>149</v>
      </c>
      <c r="F252" s="2">
        <v>46074</v>
      </c>
      <c r="I252">
        <f t="shared" si="10"/>
        <v>7</v>
      </c>
      <c r="J252" t="str">
        <f t="shared" si="11"/>
        <v>BMOU2546841|46074|</v>
      </c>
      <c r="K252" t="str">
        <f t="shared" si="12"/>
        <v>BMOU2546841|20 FT|DRY|ZONA</v>
      </c>
    </row>
    <row r="253" spans="1:11" x14ac:dyDescent="0.2">
      <c r="A253">
        <v>252</v>
      </c>
      <c r="C253" t="s">
        <v>85</v>
      </c>
      <c r="D253" s="1">
        <v>7235941</v>
      </c>
      <c r="E253" t="s">
        <v>149</v>
      </c>
      <c r="F253" s="2">
        <v>46074</v>
      </c>
      <c r="I253">
        <f t="shared" si="10"/>
        <v>7</v>
      </c>
      <c r="J253" t="str">
        <f t="shared" si="11"/>
        <v>KMTU7235941|46074|</v>
      </c>
      <c r="K253" t="str">
        <f t="shared" si="12"/>
        <v>KMTU7235941|20 FT|DRY|ZONA</v>
      </c>
    </row>
    <row r="254" spans="1:11" x14ac:dyDescent="0.2">
      <c r="A254">
        <v>253</v>
      </c>
      <c r="C254" t="s">
        <v>31</v>
      </c>
      <c r="D254" s="1">
        <v>3903413</v>
      </c>
      <c r="E254" t="s">
        <v>149</v>
      </c>
      <c r="F254" s="2">
        <v>46074</v>
      </c>
      <c r="G254" s="2">
        <v>46202</v>
      </c>
      <c r="I254">
        <f t="shared" si="10"/>
        <v>7</v>
      </c>
      <c r="J254" t="str">
        <f t="shared" si="11"/>
        <v>CCLU3903413|46074|46202</v>
      </c>
      <c r="K254" t="str">
        <f t="shared" si="12"/>
        <v>CCLU3903413|20 FT|DRY|ZONA</v>
      </c>
    </row>
    <row r="255" spans="1:11" x14ac:dyDescent="0.2">
      <c r="A255">
        <v>254</v>
      </c>
      <c r="C255" t="s">
        <v>2</v>
      </c>
      <c r="D255" s="1">
        <v>1048600</v>
      </c>
      <c r="E255" t="s">
        <v>149</v>
      </c>
      <c r="F255" s="2">
        <v>46074</v>
      </c>
      <c r="G255" s="2">
        <v>46250</v>
      </c>
      <c r="I255">
        <f t="shared" si="10"/>
        <v>7</v>
      </c>
      <c r="J255" t="str">
        <f t="shared" si="11"/>
        <v>GESU1048600|46074|46250</v>
      </c>
      <c r="K255" t="str">
        <f t="shared" si="12"/>
        <v>GESU1048600|20 FT|DRY|ZONA</v>
      </c>
    </row>
    <row r="256" spans="1:11" x14ac:dyDescent="0.2">
      <c r="A256">
        <v>255</v>
      </c>
      <c r="C256" t="s">
        <v>5</v>
      </c>
      <c r="D256" s="1">
        <v>3123011</v>
      </c>
      <c r="E256" t="s">
        <v>149</v>
      </c>
      <c r="F256" s="2">
        <v>46075</v>
      </c>
      <c r="G256" s="2">
        <v>46212</v>
      </c>
      <c r="I256">
        <f t="shared" si="10"/>
        <v>7</v>
      </c>
      <c r="J256" t="str">
        <f t="shared" si="11"/>
        <v>TGHU3123011|46075|46212</v>
      </c>
      <c r="K256" t="str">
        <f t="shared" si="12"/>
        <v>TGHU3123011|20 FT|DRY|ZONA</v>
      </c>
    </row>
    <row r="257" spans="1:11" x14ac:dyDescent="0.2">
      <c r="A257">
        <v>256</v>
      </c>
      <c r="C257" t="s">
        <v>58</v>
      </c>
      <c r="D257" s="1">
        <v>2161180</v>
      </c>
      <c r="E257" t="s">
        <v>149</v>
      </c>
      <c r="F257" s="2">
        <v>46074</v>
      </c>
      <c r="I257">
        <f t="shared" si="10"/>
        <v>7</v>
      </c>
      <c r="J257" t="str">
        <f t="shared" si="11"/>
        <v>EISU2161180|46074|</v>
      </c>
      <c r="K257" t="str">
        <f t="shared" si="12"/>
        <v>EISU2161180|20 FT|DRY|ZONA</v>
      </c>
    </row>
    <row r="258" spans="1:11" x14ac:dyDescent="0.2">
      <c r="A258">
        <v>257</v>
      </c>
      <c r="C258" t="s">
        <v>34</v>
      </c>
      <c r="D258" s="1">
        <v>1415952</v>
      </c>
      <c r="E258" t="s">
        <v>149</v>
      </c>
      <c r="F258" s="2">
        <v>46074</v>
      </c>
      <c r="G258" s="2">
        <v>46242</v>
      </c>
      <c r="I258">
        <f t="shared" si="10"/>
        <v>7</v>
      </c>
      <c r="J258" t="str">
        <f t="shared" si="11"/>
        <v>SEGU1415952|46074|46242</v>
      </c>
      <c r="K258" t="str">
        <f t="shared" si="12"/>
        <v>SEGU1415952|20 FT|DRY|ZONA</v>
      </c>
    </row>
    <row r="259" spans="1:11" x14ac:dyDescent="0.2">
      <c r="A259">
        <v>258</v>
      </c>
      <c r="C259" t="s">
        <v>23</v>
      </c>
      <c r="D259" s="1">
        <v>3571588</v>
      </c>
      <c r="E259" t="s">
        <v>149</v>
      </c>
      <c r="F259" s="2">
        <v>46076</v>
      </c>
      <c r="I259">
        <f t="shared" ref="I259:I322" si="13">LEN(D259)</f>
        <v>7</v>
      </c>
      <c r="J259" t="str">
        <f t="shared" ref="J259:J322" si="14">C259&amp;D259&amp;"|"&amp;F259&amp;"|"&amp;G259</f>
        <v>EMCU3571588|46076|</v>
      </c>
      <c r="K259" t="str">
        <f t="shared" si="12"/>
        <v>EMCU3571588|20 FT|DRY|ZONA</v>
      </c>
    </row>
    <row r="260" spans="1:11" x14ac:dyDescent="0.2">
      <c r="A260">
        <v>259</v>
      </c>
      <c r="C260" t="s">
        <v>17</v>
      </c>
      <c r="D260" s="1">
        <v>1117174</v>
      </c>
      <c r="E260" t="s">
        <v>149</v>
      </c>
      <c r="F260" s="2">
        <v>46076</v>
      </c>
      <c r="G260" s="2">
        <v>46230</v>
      </c>
      <c r="I260">
        <f t="shared" si="13"/>
        <v>7</v>
      </c>
      <c r="J260" t="str">
        <f t="shared" si="14"/>
        <v>CRSU1117174|46076|46230</v>
      </c>
      <c r="K260" t="str">
        <f t="shared" si="12"/>
        <v>CRSU1117174|20 FT|DRY|ZONA</v>
      </c>
    </row>
    <row r="261" spans="1:11" x14ac:dyDescent="0.2">
      <c r="A261">
        <v>260</v>
      </c>
      <c r="C261" t="s">
        <v>87</v>
      </c>
      <c r="D261" s="1">
        <v>3692251</v>
      </c>
      <c r="E261" t="s">
        <v>149</v>
      </c>
      <c r="F261" s="2">
        <v>46077</v>
      </c>
      <c r="I261">
        <f t="shared" si="13"/>
        <v>7</v>
      </c>
      <c r="J261" t="str">
        <f t="shared" si="14"/>
        <v>IRNU3692251|46077|</v>
      </c>
      <c r="K261" t="str">
        <f t="shared" si="12"/>
        <v>IRNU3692251|20 FT|DRY|ZONA</v>
      </c>
    </row>
    <row r="262" spans="1:11" x14ac:dyDescent="0.2">
      <c r="A262">
        <v>261</v>
      </c>
      <c r="C262" t="s">
        <v>5</v>
      </c>
      <c r="D262" s="1">
        <v>2894328</v>
      </c>
      <c r="E262" t="s">
        <v>149</v>
      </c>
      <c r="F262" s="2">
        <v>46077</v>
      </c>
      <c r="G262" s="2">
        <v>46231</v>
      </c>
      <c r="I262">
        <f t="shared" si="13"/>
        <v>7</v>
      </c>
      <c r="J262" t="str">
        <f t="shared" si="14"/>
        <v>TGHU2894328|46077|46231</v>
      </c>
      <c r="K262" t="str">
        <f t="shared" si="12"/>
        <v>TGHU2894328|20 FT|DRY|ZONA</v>
      </c>
    </row>
    <row r="263" spans="1:11" x14ac:dyDescent="0.2">
      <c r="A263">
        <v>262</v>
      </c>
      <c r="C263" t="s">
        <v>49</v>
      </c>
      <c r="D263" s="1">
        <v>2821420</v>
      </c>
      <c r="E263" t="s">
        <v>149</v>
      </c>
      <c r="F263" s="2">
        <v>46077</v>
      </c>
      <c r="G263" s="2">
        <v>46254</v>
      </c>
      <c r="I263">
        <f t="shared" si="13"/>
        <v>7</v>
      </c>
      <c r="J263" t="str">
        <f t="shared" si="14"/>
        <v>ZONA2821420|46077|46254</v>
      </c>
      <c r="K263" t="str">
        <f t="shared" si="12"/>
        <v>ZONA2821420|20 FT|DRY|ZONA</v>
      </c>
    </row>
    <row r="264" spans="1:11" x14ac:dyDescent="0.2">
      <c r="A264">
        <v>263</v>
      </c>
      <c r="C264" t="s">
        <v>11</v>
      </c>
      <c r="D264" s="1">
        <v>2703707</v>
      </c>
      <c r="E264" t="s">
        <v>149</v>
      </c>
      <c r="F264" s="2">
        <v>46077</v>
      </c>
      <c r="I264">
        <f t="shared" si="13"/>
        <v>7</v>
      </c>
      <c r="J264" t="str">
        <f t="shared" si="14"/>
        <v>TEMU2703707|46077|</v>
      </c>
      <c r="K264" t="str">
        <f t="shared" si="12"/>
        <v>TEMU2703707|20 FT|DRY|ZONA</v>
      </c>
    </row>
    <row r="265" spans="1:11" x14ac:dyDescent="0.2">
      <c r="A265">
        <v>264</v>
      </c>
      <c r="C265" t="s">
        <v>11</v>
      </c>
      <c r="D265" s="1">
        <v>4280728</v>
      </c>
      <c r="E265" t="s">
        <v>149</v>
      </c>
      <c r="F265" s="2">
        <v>46078</v>
      </c>
      <c r="I265">
        <f t="shared" si="13"/>
        <v>7</v>
      </c>
      <c r="J265" t="str">
        <f t="shared" si="14"/>
        <v>TEMU4280728|46078|</v>
      </c>
      <c r="K265" t="str">
        <f t="shared" si="12"/>
        <v>TEMU4280728|20 FT|DRY|ZONA</v>
      </c>
    </row>
    <row r="266" spans="1:11" x14ac:dyDescent="0.2">
      <c r="A266">
        <v>265</v>
      </c>
      <c r="C266" t="s">
        <v>88</v>
      </c>
      <c r="D266" s="1">
        <v>5111867</v>
      </c>
      <c r="E266" t="s">
        <v>149</v>
      </c>
      <c r="F266" s="2">
        <v>46078</v>
      </c>
      <c r="G266" s="2">
        <v>46243</v>
      </c>
      <c r="I266">
        <f t="shared" si="13"/>
        <v>7</v>
      </c>
      <c r="J266" t="str">
        <f t="shared" si="14"/>
        <v>GSTU5111867|46078|46243</v>
      </c>
      <c r="K266" t="str">
        <f t="shared" si="12"/>
        <v>GSTU5111867|20 FT|DRY|ZONA</v>
      </c>
    </row>
    <row r="267" spans="1:11" x14ac:dyDescent="0.2">
      <c r="A267">
        <v>266</v>
      </c>
      <c r="C267" t="s">
        <v>29</v>
      </c>
      <c r="D267" s="1">
        <v>3121030</v>
      </c>
      <c r="E267" t="s">
        <v>149</v>
      </c>
      <c r="F267" s="2">
        <v>46078</v>
      </c>
      <c r="G267" s="2">
        <v>46214</v>
      </c>
      <c r="I267">
        <f t="shared" si="13"/>
        <v>7</v>
      </c>
      <c r="J267" t="str">
        <f t="shared" si="14"/>
        <v>CRXU3121030|46078|46214</v>
      </c>
      <c r="K267" t="str">
        <f t="shared" si="12"/>
        <v>CRXU3121030|20 FT|DRY|ZONA</v>
      </c>
    </row>
    <row r="268" spans="1:11" x14ac:dyDescent="0.2">
      <c r="A268">
        <v>267</v>
      </c>
      <c r="C268" t="s">
        <v>11</v>
      </c>
      <c r="D268" s="1">
        <v>2700586</v>
      </c>
      <c r="E268" t="s">
        <v>149</v>
      </c>
      <c r="F268" s="2">
        <v>46077</v>
      </c>
      <c r="G268" s="2">
        <v>46243</v>
      </c>
      <c r="I268">
        <f t="shared" si="13"/>
        <v>7</v>
      </c>
      <c r="J268" t="str">
        <f t="shared" si="14"/>
        <v>TEMU2700586|46077|46243</v>
      </c>
      <c r="K268" t="str">
        <f t="shared" ref="K268:K331" si="15">C268&amp;D268&amp;"|"&amp;E268&amp;"|"&amp;"DRY"&amp;"|"&amp;"ZONA"</f>
        <v>TEMU2700586|20 FT|DRY|ZONA</v>
      </c>
    </row>
    <row r="269" spans="1:11" x14ac:dyDescent="0.2">
      <c r="A269">
        <v>268</v>
      </c>
      <c r="C269" t="s">
        <v>34</v>
      </c>
      <c r="D269" s="1">
        <v>1076951</v>
      </c>
      <c r="E269" t="s">
        <v>149</v>
      </c>
      <c r="F269" s="2">
        <v>46077</v>
      </c>
      <c r="G269" s="2">
        <v>46183</v>
      </c>
      <c r="I269">
        <f t="shared" si="13"/>
        <v>7</v>
      </c>
      <c r="J269" t="str">
        <f t="shared" si="14"/>
        <v>SEGU1076951|46077|46183</v>
      </c>
      <c r="K269" t="str">
        <f t="shared" si="15"/>
        <v>SEGU1076951|20 FT|DRY|ZONA</v>
      </c>
    </row>
    <row r="270" spans="1:11" x14ac:dyDescent="0.2">
      <c r="A270">
        <v>269</v>
      </c>
      <c r="C270" t="s">
        <v>89</v>
      </c>
      <c r="D270" s="1" t="s">
        <v>90</v>
      </c>
      <c r="E270" t="s">
        <v>149</v>
      </c>
      <c r="F270" s="2">
        <v>46077</v>
      </c>
      <c r="G270" s="2">
        <v>46220</v>
      </c>
      <c r="I270">
        <f t="shared" si="13"/>
        <v>7</v>
      </c>
      <c r="J270" t="str">
        <f t="shared" si="14"/>
        <v>PONU0713265|46077|46220</v>
      </c>
      <c r="K270" t="str">
        <f t="shared" si="15"/>
        <v>PONU0713265|20 FT|DRY|ZONA</v>
      </c>
    </row>
    <row r="271" spans="1:11" x14ac:dyDescent="0.2">
      <c r="A271">
        <v>270</v>
      </c>
      <c r="C271" t="s">
        <v>11</v>
      </c>
      <c r="D271" s="1">
        <v>2734267</v>
      </c>
      <c r="E271" t="s">
        <v>149</v>
      </c>
      <c r="F271" s="2">
        <v>46077</v>
      </c>
      <c r="G271" s="2">
        <v>46211</v>
      </c>
      <c r="I271">
        <f t="shared" si="13"/>
        <v>7</v>
      </c>
      <c r="J271" t="str">
        <f t="shared" si="14"/>
        <v>TEMU2734267|46077|46211</v>
      </c>
      <c r="K271" t="str">
        <f t="shared" si="15"/>
        <v>TEMU2734267|20 FT|DRY|ZONA</v>
      </c>
    </row>
    <row r="272" spans="1:11" x14ac:dyDescent="0.2">
      <c r="A272">
        <v>271</v>
      </c>
      <c r="C272" t="s">
        <v>91</v>
      </c>
      <c r="D272" s="1">
        <v>1583346</v>
      </c>
      <c r="E272" t="s">
        <v>149</v>
      </c>
      <c r="F272" s="2">
        <v>46077</v>
      </c>
      <c r="G272" s="2">
        <v>46242</v>
      </c>
      <c r="I272">
        <f t="shared" si="13"/>
        <v>7</v>
      </c>
      <c r="J272" t="str">
        <f t="shared" si="14"/>
        <v>XINU1583346|46077|46242</v>
      </c>
      <c r="K272" t="str">
        <f t="shared" si="15"/>
        <v>XINU1583346|20 FT|DRY|ZONA</v>
      </c>
    </row>
    <row r="273" spans="1:11" x14ac:dyDescent="0.2">
      <c r="A273">
        <v>272</v>
      </c>
      <c r="C273" t="s">
        <v>29</v>
      </c>
      <c r="D273" s="1">
        <v>1509670</v>
      </c>
      <c r="E273" t="s">
        <v>149</v>
      </c>
      <c r="F273" s="2">
        <v>46077</v>
      </c>
      <c r="G273" s="2">
        <v>46233</v>
      </c>
      <c r="I273">
        <f t="shared" si="13"/>
        <v>7</v>
      </c>
      <c r="J273" t="str">
        <f t="shared" si="14"/>
        <v>CRXU1509670|46077|46233</v>
      </c>
      <c r="K273" t="str">
        <f t="shared" si="15"/>
        <v>CRXU1509670|20 FT|DRY|ZONA</v>
      </c>
    </row>
    <row r="274" spans="1:11" x14ac:dyDescent="0.2">
      <c r="A274">
        <v>273</v>
      </c>
      <c r="C274" t="s">
        <v>41</v>
      </c>
      <c r="D274" s="1">
        <v>2210712</v>
      </c>
      <c r="E274" t="s">
        <v>149</v>
      </c>
      <c r="F274" s="2">
        <v>46077</v>
      </c>
      <c r="I274">
        <f t="shared" si="13"/>
        <v>7</v>
      </c>
      <c r="J274" t="str">
        <f t="shared" si="14"/>
        <v>BMOU2210712|46077|</v>
      </c>
      <c r="K274" t="str">
        <f t="shared" si="15"/>
        <v>BMOU2210712|20 FT|DRY|ZONA</v>
      </c>
    </row>
    <row r="275" spans="1:11" x14ac:dyDescent="0.2">
      <c r="A275">
        <v>274</v>
      </c>
      <c r="C275" t="s">
        <v>63</v>
      </c>
      <c r="D275" s="1">
        <v>5226741</v>
      </c>
      <c r="E275" t="s">
        <v>134</v>
      </c>
      <c r="F275" s="2">
        <v>46077</v>
      </c>
      <c r="I275">
        <f t="shared" si="13"/>
        <v>7</v>
      </c>
      <c r="J275" t="str">
        <f t="shared" si="14"/>
        <v>MAGU5226741|46077|</v>
      </c>
      <c r="K275" t="str">
        <f t="shared" si="15"/>
        <v>MAGU5226741|40 FT|DRY|ZONA</v>
      </c>
    </row>
    <row r="276" spans="1:11" x14ac:dyDescent="0.2">
      <c r="A276">
        <v>275</v>
      </c>
      <c r="C276" t="s">
        <v>85</v>
      </c>
      <c r="D276" s="1">
        <v>7353435</v>
      </c>
      <c r="E276" t="s">
        <v>149</v>
      </c>
      <c r="F276" s="2">
        <v>46077</v>
      </c>
      <c r="G276" s="2">
        <v>46221</v>
      </c>
      <c r="I276">
        <f t="shared" si="13"/>
        <v>7</v>
      </c>
      <c r="J276" t="str">
        <f t="shared" si="14"/>
        <v>KMTU7353435|46077|46221</v>
      </c>
      <c r="K276" t="str">
        <f t="shared" si="15"/>
        <v>KMTU7353435|20 FT|DRY|ZONA</v>
      </c>
    </row>
    <row r="277" spans="1:11" x14ac:dyDescent="0.2">
      <c r="A277">
        <v>276</v>
      </c>
      <c r="C277" t="s">
        <v>41</v>
      </c>
      <c r="D277" s="1">
        <v>2694710</v>
      </c>
      <c r="E277" t="s">
        <v>149</v>
      </c>
      <c r="F277" s="2">
        <v>46078</v>
      </c>
      <c r="I277">
        <f t="shared" si="13"/>
        <v>7</v>
      </c>
      <c r="J277" t="str">
        <f t="shared" si="14"/>
        <v>BMOU2694710|46078|</v>
      </c>
      <c r="K277" t="str">
        <f t="shared" si="15"/>
        <v>BMOU2694710|20 FT|DRY|ZONA</v>
      </c>
    </row>
    <row r="278" spans="1:11" x14ac:dyDescent="0.2">
      <c r="A278">
        <v>277</v>
      </c>
      <c r="C278" t="s">
        <v>29</v>
      </c>
      <c r="D278" s="1">
        <v>1526087</v>
      </c>
      <c r="E278" t="s">
        <v>149</v>
      </c>
      <c r="F278" s="2">
        <v>46077</v>
      </c>
      <c r="G278" s="2">
        <v>46237</v>
      </c>
      <c r="I278">
        <f t="shared" si="13"/>
        <v>7</v>
      </c>
      <c r="J278" t="str">
        <f t="shared" si="14"/>
        <v>CRXU1526087|46077|46237</v>
      </c>
      <c r="K278" t="str">
        <f t="shared" si="15"/>
        <v>CRXU1526087|20 FT|DRY|ZONA</v>
      </c>
    </row>
    <row r="279" spans="1:11" x14ac:dyDescent="0.2">
      <c r="A279">
        <v>278</v>
      </c>
      <c r="C279" t="s">
        <v>10</v>
      </c>
      <c r="D279" s="1">
        <v>1711021</v>
      </c>
      <c r="E279" t="s">
        <v>149</v>
      </c>
      <c r="F279" s="2">
        <v>46085</v>
      </c>
      <c r="G279" s="2">
        <v>46238</v>
      </c>
      <c r="I279">
        <f t="shared" si="13"/>
        <v>7</v>
      </c>
      <c r="J279" t="str">
        <f t="shared" si="14"/>
        <v>OOLU1711021|46085|46238</v>
      </c>
      <c r="K279" t="str">
        <f t="shared" si="15"/>
        <v>OOLU1711021|20 FT|DRY|ZONA</v>
      </c>
    </row>
    <row r="280" spans="1:11" x14ac:dyDescent="0.2">
      <c r="A280">
        <v>279</v>
      </c>
      <c r="C280" t="s">
        <v>10</v>
      </c>
      <c r="D280" s="1">
        <v>1334735</v>
      </c>
      <c r="E280" t="s">
        <v>149</v>
      </c>
      <c r="F280" s="2">
        <v>46085</v>
      </c>
      <c r="G280" s="2">
        <v>46249</v>
      </c>
      <c r="I280">
        <f t="shared" si="13"/>
        <v>7</v>
      </c>
      <c r="J280" t="str">
        <f t="shared" si="14"/>
        <v>OOLU1334735|46085|46249</v>
      </c>
      <c r="K280" t="str">
        <f t="shared" si="15"/>
        <v>OOLU1334735|20 FT|DRY|ZONA</v>
      </c>
    </row>
    <row r="281" spans="1:11" x14ac:dyDescent="0.2">
      <c r="A281">
        <v>280</v>
      </c>
      <c r="C281" t="s">
        <v>5</v>
      </c>
      <c r="D281" s="1">
        <v>1716091</v>
      </c>
      <c r="E281" t="s">
        <v>149</v>
      </c>
      <c r="F281" s="2">
        <v>46085</v>
      </c>
      <c r="G281" s="2">
        <v>46239</v>
      </c>
      <c r="I281">
        <f t="shared" si="13"/>
        <v>7</v>
      </c>
      <c r="J281" t="str">
        <f t="shared" si="14"/>
        <v>TGHU1716091|46085|46239</v>
      </c>
      <c r="K281" t="str">
        <f t="shared" si="15"/>
        <v>TGHU1716091|20 FT|DRY|ZONA</v>
      </c>
    </row>
    <row r="282" spans="1:11" x14ac:dyDescent="0.2">
      <c r="A282">
        <v>281</v>
      </c>
      <c r="C282" t="s">
        <v>14</v>
      </c>
      <c r="D282" s="1" t="s">
        <v>92</v>
      </c>
      <c r="E282" t="s">
        <v>149</v>
      </c>
      <c r="F282" s="2">
        <v>46085</v>
      </c>
      <c r="G282" s="2">
        <v>46252</v>
      </c>
      <c r="I282">
        <f t="shared" si="13"/>
        <v>7</v>
      </c>
      <c r="J282" t="str">
        <f t="shared" si="14"/>
        <v>WHLU0319684|46085|46252</v>
      </c>
      <c r="K282" t="str">
        <f t="shared" si="15"/>
        <v>WHLU0319684|20 FT|DRY|ZONA</v>
      </c>
    </row>
    <row r="283" spans="1:11" x14ac:dyDescent="0.2">
      <c r="A283">
        <v>282</v>
      </c>
      <c r="C283" t="s">
        <v>11</v>
      </c>
      <c r="D283" s="1">
        <v>2741625</v>
      </c>
      <c r="E283" t="s">
        <v>149</v>
      </c>
      <c r="F283" s="2">
        <v>46084</v>
      </c>
      <c r="G283" s="2">
        <v>46252</v>
      </c>
      <c r="I283">
        <f t="shared" si="13"/>
        <v>7</v>
      </c>
      <c r="J283" t="str">
        <f t="shared" si="14"/>
        <v>TEMU2741625|46084|46252</v>
      </c>
      <c r="K283" t="str">
        <f t="shared" si="15"/>
        <v>TEMU2741625|20 FT|DRY|ZONA</v>
      </c>
    </row>
    <row r="284" spans="1:11" x14ac:dyDescent="0.2">
      <c r="A284">
        <v>283</v>
      </c>
      <c r="C284" t="s">
        <v>5</v>
      </c>
      <c r="D284" s="1" t="s">
        <v>93</v>
      </c>
      <c r="E284" t="s">
        <v>149</v>
      </c>
      <c r="F284" s="2">
        <v>46084</v>
      </c>
      <c r="G284" s="2">
        <v>46231</v>
      </c>
      <c r="I284">
        <f t="shared" si="13"/>
        <v>7</v>
      </c>
      <c r="J284" t="str">
        <f t="shared" si="14"/>
        <v>TGHU0724549|46084|46231</v>
      </c>
      <c r="K284" t="str">
        <f t="shared" si="15"/>
        <v>TGHU0724549|20 FT|DRY|ZONA</v>
      </c>
    </row>
    <row r="285" spans="1:11" x14ac:dyDescent="0.2">
      <c r="A285">
        <v>284</v>
      </c>
      <c r="C285" t="s">
        <v>94</v>
      </c>
      <c r="D285" s="1" t="s">
        <v>95</v>
      </c>
      <c r="E285" t="s">
        <v>149</v>
      </c>
      <c r="F285" s="2">
        <v>46086</v>
      </c>
      <c r="I285">
        <f t="shared" si="13"/>
        <v>7</v>
      </c>
      <c r="J285" t="str">
        <f t="shared" si="14"/>
        <v>TLHU0635822|46086|</v>
      </c>
      <c r="K285" t="str">
        <f t="shared" si="15"/>
        <v>TLHU0635822|20 FT|DRY|ZONA</v>
      </c>
    </row>
    <row r="286" spans="1:11" x14ac:dyDescent="0.2">
      <c r="A286">
        <v>285</v>
      </c>
      <c r="C286" t="s">
        <v>27</v>
      </c>
      <c r="D286" s="1">
        <v>3773019</v>
      </c>
      <c r="E286" t="s">
        <v>149</v>
      </c>
      <c r="F286" s="2">
        <v>46085</v>
      </c>
      <c r="I286">
        <f t="shared" si="13"/>
        <v>7</v>
      </c>
      <c r="J286" t="str">
        <f t="shared" si="14"/>
        <v>TEXU3773019|46085|</v>
      </c>
      <c r="K286" t="str">
        <f t="shared" si="15"/>
        <v>TEXU3773019|20 FT|DRY|ZONA</v>
      </c>
    </row>
    <row r="287" spans="1:11" x14ac:dyDescent="0.2">
      <c r="A287">
        <v>286</v>
      </c>
      <c r="C287" t="s">
        <v>26</v>
      </c>
      <c r="D287" s="1">
        <v>1326496</v>
      </c>
      <c r="E287" t="s">
        <v>149</v>
      </c>
      <c r="F287" s="2">
        <v>46085</v>
      </c>
      <c r="G287" s="2">
        <v>46250</v>
      </c>
      <c r="I287">
        <f t="shared" si="13"/>
        <v>7</v>
      </c>
      <c r="J287" t="str">
        <f t="shared" si="14"/>
        <v>GATU1326496|46085|46250</v>
      </c>
      <c r="K287" t="str">
        <f t="shared" si="15"/>
        <v>GATU1326496|20 FT|DRY|ZONA</v>
      </c>
    </row>
    <row r="288" spans="1:11" x14ac:dyDescent="0.2">
      <c r="A288">
        <v>287</v>
      </c>
      <c r="C288" t="s">
        <v>5</v>
      </c>
      <c r="D288" s="1">
        <v>3526470</v>
      </c>
      <c r="E288" t="s">
        <v>149</v>
      </c>
      <c r="F288" s="2">
        <v>46085</v>
      </c>
      <c r="I288">
        <f t="shared" si="13"/>
        <v>7</v>
      </c>
      <c r="J288" t="str">
        <f t="shared" si="14"/>
        <v>TGHU3526470|46085|</v>
      </c>
      <c r="K288" t="str">
        <f t="shared" si="15"/>
        <v>TGHU3526470|20 FT|DRY|ZONA</v>
      </c>
    </row>
    <row r="289" spans="1:11" x14ac:dyDescent="0.2">
      <c r="A289">
        <v>288</v>
      </c>
      <c r="C289" t="s">
        <v>10</v>
      </c>
      <c r="D289" s="1">
        <v>1629952</v>
      </c>
      <c r="E289" t="s">
        <v>149</v>
      </c>
      <c r="F289" s="2">
        <v>46085</v>
      </c>
      <c r="I289">
        <f t="shared" si="13"/>
        <v>7</v>
      </c>
      <c r="J289" t="str">
        <f t="shared" si="14"/>
        <v>OOLU1629952|46085|</v>
      </c>
      <c r="K289" t="str">
        <f t="shared" si="15"/>
        <v>OOLU1629952|20 FT|DRY|ZONA</v>
      </c>
    </row>
    <row r="290" spans="1:11" x14ac:dyDescent="0.2">
      <c r="A290">
        <v>289</v>
      </c>
      <c r="C290" t="s">
        <v>62</v>
      </c>
      <c r="D290" s="1">
        <v>3405215</v>
      </c>
      <c r="E290" t="s">
        <v>149</v>
      </c>
      <c r="F290" s="2">
        <v>46086</v>
      </c>
      <c r="I290">
        <f t="shared" si="13"/>
        <v>7</v>
      </c>
      <c r="J290" t="str">
        <f t="shared" si="14"/>
        <v>CLHU3405215|46086|</v>
      </c>
      <c r="K290" t="str">
        <f t="shared" si="15"/>
        <v>CLHU3405215|20 FT|DRY|ZONA</v>
      </c>
    </row>
    <row r="291" spans="1:11" x14ac:dyDescent="0.2">
      <c r="A291">
        <v>290</v>
      </c>
      <c r="C291" t="s">
        <v>41</v>
      </c>
      <c r="D291" s="1">
        <v>2383868</v>
      </c>
      <c r="E291" t="s">
        <v>149</v>
      </c>
      <c r="F291" s="2">
        <v>46085</v>
      </c>
      <c r="G291" s="2">
        <v>46202</v>
      </c>
      <c r="I291">
        <f t="shared" si="13"/>
        <v>7</v>
      </c>
      <c r="J291" t="str">
        <f t="shared" si="14"/>
        <v>BMOU2383868|46085|46202</v>
      </c>
      <c r="K291" t="str">
        <f t="shared" si="15"/>
        <v>BMOU2383868|20 FT|DRY|ZONA</v>
      </c>
    </row>
    <row r="292" spans="1:11" x14ac:dyDescent="0.2">
      <c r="A292">
        <v>291</v>
      </c>
      <c r="C292" t="s">
        <v>11</v>
      </c>
      <c r="D292" s="1">
        <v>3000416</v>
      </c>
      <c r="E292" t="s">
        <v>149</v>
      </c>
      <c r="F292" s="2">
        <v>46085</v>
      </c>
      <c r="G292" s="2">
        <v>46230</v>
      </c>
      <c r="I292">
        <f t="shared" si="13"/>
        <v>7</v>
      </c>
      <c r="J292" t="str">
        <f t="shared" si="14"/>
        <v>TEMU3000416|46085|46230</v>
      </c>
      <c r="K292" t="str">
        <f t="shared" si="15"/>
        <v>TEMU3000416|20 FT|DRY|ZONA</v>
      </c>
    </row>
    <row r="293" spans="1:11" x14ac:dyDescent="0.2">
      <c r="A293">
        <v>292</v>
      </c>
      <c r="C293" t="s">
        <v>28</v>
      </c>
      <c r="D293" s="1">
        <v>2928760</v>
      </c>
      <c r="E293" t="s">
        <v>149</v>
      </c>
      <c r="F293" s="2">
        <v>46086</v>
      </c>
      <c r="G293" s="2">
        <v>46241</v>
      </c>
      <c r="I293">
        <f t="shared" si="13"/>
        <v>7</v>
      </c>
      <c r="J293" t="str">
        <f t="shared" si="14"/>
        <v>FORU2928760|46086|46241</v>
      </c>
      <c r="K293" t="str">
        <f t="shared" si="15"/>
        <v>FORU2928760|20 FT|DRY|ZONA</v>
      </c>
    </row>
    <row r="294" spans="1:11" x14ac:dyDescent="0.2">
      <c r="A294">
        <v>293</v>
      </c>
      <c r="C294" t="s">
        <v>96</v>
      </c>
      <c r="D294" s="1">
        <v>2486260</v>
      </c>
      <c r="E294" t="s">
        <v>149</v>
      </c>
      <c r="F294" s="2">
        <v>46086</v>
      </c>
      <c r="I294">
        <f t="shared" si="13"/>
        <v>7</v>
      </c>
      <c r="J294" t="str">
        <f t="shared" si="14"/>
        <v>HDMU2486260|46086|</v>
      </c>
      <c r="K294" t="str">
        <f t="shared" si="15"/>
        <v>HDMU2486260|20 FT|DRY|ZONA</v>
      </c>
    </row>
    <row r="295" spans="1:11" x14ac:dyDescent="0.2">
      <c r="A295">
        <v>294</v>
      </c>
      <c r="C295" t="s">
        <v>11</v>
      </c>
      <c r="D295" s="1">
        <v>2365488</v>
      </c>
      <c r="E295" t="s">
        <v>149</v>
      </c>
      <c r="F295" s="2">
        <v>46085</v>
      </c>
      <c r="G295" s="2">
        <v>46239</v>
      </c>
      <c r="I295">
        <f t="shared" si="13"/>
        <v>7</v>
      </c>
      <c r="J295" t="str">
        <f t="shared" si="14"/>
        <v>TEMU2365488|46085|46239</v>
      </c>
      <c r="K295" t="str">
        <f t="shared" si="15"/>
        <v>TEMU2365488|20 FT|DRY|ZONA</v>
      </c>
    </row>
    <row r="296" spans="1:11" x14ac:dyDescent="0.2">
      <c r="A296">
        <v>295</v>
      </c>
      <c r="C296" t="s">
        <v>20</v>
      </c>
      <c r="D296" s="1">
        <v>5758437</v>
      </c>
      <c r="E296" t="s">
        <v>149</v>
      </c>
      <c r="F296" s="2">
        <v>46085</v>
      </c>
      <c r="G296" s="2">
        <v>46253</v>
      </c>
      <c r="I296">
        <f t="shared" si="13"/>
        <v>7</v>
      </c>
      <c r="J296" t="str">
        <f t="shared" si="14"/>
        <v>GLDU5758437|46085|46253</v>
      </c>
      <c r="K296" t="str">
        <f t="shared" si="15"/>
        <v>GLDU5758437|20 FT|DRY|ZONA</v>
      </c>
    </row>
    <row r="297" spans="1:11" x14ac:dyDescent="0.2">
      <c r="A297">
        <v>296</v>
      </c>
      <c r="C297" t="s">
        <v>53</v>
      </c>
      <c r="D297" s="1">
        <v>3332208</v>
      </c>
      <c r="E297" t="s">
        <v>149</v>
      </c>
      <c r="F297" s="2">
        <v>46087</v>
      </c>
      <c r="G297" s="2">
        <v>46231</v>
      </c>
      <c r="I297">
        <f t="shared" si="13"/>
        <v>7</v>
      </c>
      <c r="J297" t="str">
        <f t="shared" si="14"/>
        <v>CAXU3332208|46087|46231</v>
      </c>
      <c r="K297" t="str">
        <f t="shared" si="15"/>
        <v>CAXU3332208|20 FT|DRY|ZONA</v>
      </c>
    </row>
    <row r="298" spans="1:11" x14ac:dyDescent="0.2">
      <c r="A298">
        <v>297</v>
      </c>
      <c r="C298" t="s">
        <v>62</v>
      </c>
      <c r="D298" s="1">
        <v>3389726</v>
      </c>
      <c r="E298" t="s">
        <v>149</v>
      </c>
      <c r="F298" s="2">
        <v>46087</v>
      </c>
      <c r="I298">
        <f t="shared" si="13"/>
        <v>7</v>
      </c>
      <c r="J298" t="str">
        <f t="shared" si="14"/>
        <v>CLHU3389726|46087|</v>
      </c>
      <c r="K298" t="str">
        <f t="shared" si="15"/>
        <v>CLHU3389726|20 FT|DRY|ZONA</v>
      </c>
    </row>
    <row r="299" spans="1:11" x14ac:dyDescent="0.2">
      <c r="A299">
        <v>298</v>
      </c>
      <c r="C299" t="s">
        <v>28</v>
      </c>
      <c r="D299" s="1">
        <v>8416289</v>
      </c>
      <c r="E299" t="s">
        <v>149</v>
      </c>
      <c r="F299" s="2">
        <v>46087</v>
      </c>
      <c r="G299" s="2">
        <v>46243</v>
      </c>
      <c r="I299">
        <f t="shared" si="13"/>
        <v>7</v>
      </c>
      <c r="J299" t="str">
        <f t="shared" si="14"/>
        <v>FORU8416289|46087|46243</v>
      </c>
      <c r="K299" t="str">
        <f t="shared" si="15"/>
        <v>FORU8416289|20 FT|DRY|ZONA</v>
      </c>
    </row>
    <row r="300" spans="1:11" x14ac:dyDescent="0.2">
      <c r="A300">
        <v>299</v>
      </c>
      <c r="C300" t="s">
        <v>29</v>
      </c>
      <c r="D300" s="1">
        <v>3248180</v>
      </c>
      <c r="E300" t="s">
        <v>149</v>
      </c>
      <c r="F300" s="2">
        <v>46087</v>
      </c>
      <c r="G300" s="2">
        <v>46237</v>
      </c>
      <c r="I300">
        <f t="shared" si="13"/>
        <v>7</v>
      </c>
      <c r="J300" t="str">
        <f t="shared" si="14"/>
        <v>CRXU3248180|46087|46237</v>
      </c>
      <c r="K300" t="str">
        <f t="shared" si="15"/>
        <v>CRXU3248180|20 FT|DRY|ZONA</v>
      </c>
    </row>
    <row r="301" spans="1:11" x14ac:dyDescent="0.2">
      <c r="A301">
        <v>300</v>
      </c>
      <c r="C301" t="s">
        <v>20</v>
      </c>
      <c r="D301" s="1">
        <v>9422008</v>
      </c>
      <c r="E301" t="s">
        <v>149</v>
      </c>
      <c r="F301" s="2">
        <v>46087</v>
      </c>
      <c r="G301" s="2">
        <v>46254</v>
      </c>
      <c r="I301">
        <f t="shared" si="13"/>
        <v>7</v>
      </c>
      <c r="J301" t="str">
        <f t="shared" si="14"/>
        <v>GLDU9422008|46087|46254</v>
      </c>
      <c r="K301" t="str">
        <f t="shared" si="15"/>
        <v>GLDU9422008|20 FT|DRY|ZONA</v>
      </c>
    </row>
    <row r="302" spans="1:11" x14ac:dyDescent="0.2">
      <c r="A302">
        <v>301</v>
      </c>
      <c r="C302" t="s">
        <v>11</v>
      </c>
      <c r="D302" s="1">
        <v>2326809</v>
      </c>
      <c r="E302" t="s">
        <v>149</v>
      </c>
      <c r="F302" s="2">
        <v>46087</v>
      </c>
      <c r="G302" s="2">
        <v>46214</v>
      </c>
      <c r="I302">
        <f t="shared" si="13"/>
        <v>7</v>
      </c>
      <c r="J302" t="str">
        <f t="shared" si="14"/>
        <v>TEMU2326809|46087|46214</v>
      </c>
      <c r="K302" t="str">
        <f t="shared" si="15"/>
        <v>TEMU2326809|20 FT|DRY|ZONA</v>
      </c>
    </row>
    <row r="303" spans="1:11" x14ac:dyDescent="0.2">
      <c r="A303">
        <v>302</v>
      </c>
      <c r="C303" t="s">
        <v>49</v>
      </c>
      <c r="D303" s="1">
        <v>6987793</v>
      </c>
      <c r="E303" t="s">
        <v>149</v>
      </c>
      <c r="F303" s="2">
        <v>46086</v>
      </c>
      <c r="G303" s="2">
        <v>46186</v>
      </c>
      <c r="I303">
        <f t="shared" si="13"/>
        <v>7</v>
      </c>
      <c r="J303" t="str">
        <f t="shared" si="14"/>
        <v>ZONA6987793|46086|46186</v>
      </c>
      <c r="K303" t="str">
        <f t="shared" si="15"/>
        <v>ZONA6987793|20 FT|DRY|ZONA</v>
      </c>
    </row>
    <row r="304" spans="1:11" x14ac:dyDescent="0.2">
      <c r="A304">
        <v>303</v>
      </c>
      <c r="C304" t="s">
        <v>5</v>
      </c>
      <c r="D304" s="1">
        <v>2560110</v>
      </c>
      <c r="E304" t="s">
        <v>149</v>
      </c>
      <c r="F304" s="2">
        <v>46088</v>
      </c>
      <c r="G304" s="2">
        <v>46249</v>
      </c>
      <c r="I304">
        <f t="shared" si="13"/>
        <v>7</v>
      </c>
      <c r="J304" t="str">
        <f t="shared" si="14"/>
        <v>TGHU2560110|46088|46249</v>
      </c>
      <c r="K304" t="str">
        <f t="shared" si="15"/>
        <v>TGHU2560110|20 FT|DRY|ZONA</v>
      </c>
    </row>
    <row r="305" spans="1:11" x14ac:dyDescent="0.2">
      <c r="A305">
        <v>304</v>
      </c>
      <c r="C305" t="s">
        <v>49</v>
      </c>
      <c r="D305" s="1">
        <v>5956855</v>
      </c>
      <c r="E305" t="s">
        <v>149</v>
      </c>
      <c r="F305" s="2">
        <v>46087</v>
      </c>
      <c r="I305">
        <f t="shared" si="13"/>
        <v>7</v>
      </c>
      <c r="J305" t="str">
        <f t="shared" si="14"/>
        <v>ZONA5956855|46087|</v>
      </c>
      <c r="K305" t="str">
        <f t="shared" si="15"/>
        <v>ZONA5956855|20 FT|DRY|ZONA</v>
      </c>
    </row>
    <row r="306" spans="1:11" x14ac:dyDescent="0.2">
      <c r="A306">
        <v>305</v>
      </c>
      <c r="C306" t="s">
        <v>78</v>
      </c>
      <c r="D306" s="1">
        <v>3660990</v>
      </c>
      <c r="E306" t="s">
        <v>149</v>
      </c>
      <c r="F306" s="2">
        <v>46088</v>
      </c>
      <c r="G306" s="2">
        <v>46241</v>
      </c>
      <c r="I306">
        <f t="shared" si="13"/>
        <v>7</v>
      </c>
      <c r="J306" t="str">
        <f t="shared" si="14"/>
        <v>INBU3660990|46088|46241</v>
      </c>
      <c r="K306" t="str">
        <f t="shared" si="15"/>
        <v>INBU3660990|20 FT|DRY|ZONA</v>
      </c>
    </row>
    <row r="307" spans="1:11" x14ac:dyDescent="0.2">
      <c r="A307">
        <v>306</v>
      </c>
      <c r="C307" t="s">
        <v>49</v>
      </c>
      <c r="D307" s="1">
        <v>2846187</v>
      </c>
      <c r="E307" t="s">
        <v>149</v>
      </c>
      <c r="F307" s="2">
        <v>46086</v>
      </c>
      <c r="I307">
        <f t="shared" si="13"/>
        <v>7</v>
      </c>
      <c r="J307" t="str">
        <f t="shared" si="14"/>
        <v>ZONA2846187|46086|</v>
      </c>
      <c r="K307" t="str">
        <f t="shared" si="15"/>
        <v>ZONA2846187|20 FT|DRY|ZONA</v>
      </c>
    </row>
    <row r="308" spans="1:11" x14ac:dyDescent="0.2">
      <c r="A308">
        <v>307</v>
      </c>
      <c r="C308" t="s">
        <v>29</v>
      </c>
      <c r="D308" s="1">
        <v>3167129</v>
      </c>
      <c r="E308" t="s">
        <v>149</v>
      </c>
      <c r="F308" s="2">
        <v>46087</v>
      </c>
      <c r="I308">
        <f t="shared" si="13"/>
        <v>7</v>
      </c>
      <c r="J308" t="str">
        <f t="shared" si="14"/>
        <v>CRXU3167129|46087|</v>
      </c>
      <c r="K308" t="str">
        <f t="shared" si="15"/>
        <v>CRXU3167129|20 FT|DRY|ZONA</v>
      </c>
    </row>
    <row r="309" spans="1:11" x14ac:dyDescent="0.2">
      <c r="A309">
        <v>308</v>
      </c>
      <c r="C309" t="s">
        <v>49</v>
      </c>
      <c r="D309" s="1">
        <v>6956855</v>
      </c>
      <c r="E309" t="s">
        <v>149</v>
      </c>
      <c r="F309" s="2">
        <v>46087</v>
      </c>
      <c r="G309" s="2">
        <v>46221</v>
      </c>
      <c r="I309">
        <f t="shared" si="13"/>
        <v>7</v>
      </c>
      <c r="J309" t="str">
        <f t="shared" si="14"/>
        <v>ZONA6956855|46087|46221</v>
      </c>
      <c r="K309" t="str">
        <f t="shared" si="15"/>
        <v>ZONA6956855|20 FT|DRY|ZONA</v>
      </c>
    </row>
    <row r="310" spans="1:11" x14ac:dyDescent="0.2">
      <c r="A310">
        <v>309</v>
      </c>
      <c r="C310" t="s">
        <v>5</v>
      </c>
      <c r="D310" s="1" t="s">
        <v>97</v>
      </c>
      <c r="E310" t="s">
        <v>149</v>
      </c>
      <c r="F310" s="2">
        <v>46130</v>
      </c>
      <c r="G310" s="2">
        <v>46205</v>
      </c>
      <c r="I310">
        <f t="shared" si="13"/>
        <v>7</v>
      </c>
      <c r="J310" t="str">
        <f t="shared" si="14"/>
        <v>TGHU0131970|46130|46205</v>
      </c>
      <c r="K310" t="str">
        <f t="shared" si="15"/>
        <v>TGHU0131970|20 FT|DRY|ZONA</v>
      </c>
    </row>
    <row r="311" spans="1:11" x14ac:dyDescent="0.2">
      <c r="A311">
        <v>310</v>
      </c>
      <c r="C311" t="s">
        <v>2</v>
      </c>
      <c r="D311" s="1">
        <v>1136336</v>
      </c>
      <c r="E311" t="s">
        <v>149</v>
      </c>
      <c r="F311" s="2">
        <v>46132</v>
      </c>
      <c r="G311" s="2">
        <v>46251</v>
      </c>
      <c r="I311">
        <f t="shared" si="13"/>
        <v>7</v>
      </c>
      <c r="J311" t="str">
        <f t="shared" si="14"/>
        <v>GESU1136336|46132|46251</v>
      </c>
      <c r="K311" t="str">
        <f t="shared" si="15"/>
        <v>GESU1136336|20 FT|DRY|ZONA</v>
      </c>
    </row>
    <row r="312" spans="1:11" x14ac:dyDescent="0.2">
      <c r="A312">
        <v>311</v>
      </c>
      <c r="C312" t="s">
        <v>17</v>
      </c>
      <c r="D312" s="1">
        <v>1421799</v>
      </c>
      <c r="E312" t="s">
        <v>149</v>
      </c>
      <c r="F312" s="2">
        <v>46135</v>
      </c>
      <c r="G312" s="2">
        <v>46238</v>
      </c>
      <c r="I312">
        <f t="shared" si="13"/>
        <v>7</v>
      </c>
      <c r="J312" t="str">
        <f t="shared" si="14"/>
        <v>CRSU1421799|46135|46238</v>
      </c>
      <c r="K312" t="str">
        <f t="shared" si="15"/>
        <v>CRSU1421799|20 FT|DRY|ZONA</v>
      </c>
    </row>
    <row r="313" spans="1:11" x14ac:dyDescent="0.2">
      <c r="A313">
        <v>312</v>
      </c>
      <c r="C313" t="s">
        <v>10</v>
      </c>
      <c r="D313" s="1">
        <v>1578109</v>
      </c>
      <c r="E313" t="s">
        <v>149</v>
      </c>
      <c r="F313" s="2">
        <v>46141</v>
      </c>
      <c r="G313" s="2">
        <v>46250</v>
      </c>
      <c r="I313">
        <f t="shared" si="13"/>
        <v>7</v>
      </c>
      <c r="J313" t="str">
        <f t="shared" si="14"/>
        <v>OOLU1578109|46141|46250</v>
      </c>
      <c r="K313" t="str">
        <f t="shared" si="15"/>
        <v>OOLU1578109|20 FT|DRY|ZONA</v>
      </c>
    </row>
    <row r="314" spans="1:11" x14ac:dyDescent="0.2">
      <c r="A314">
        <v>313</v>
      </c>
      <c r="C314" t="s">
        <v>9</v>
      </c>
      <c r="D314" s="1">
        <v>2405311</v>
      </c>
      <c r="E314" t="s">
        <v>149</v>
      </c>
      <c r="F314" s="2">
        <v>46140</v>
      </c>
      <c r="G314" s="2">
        <v>46202</v>
      </c>
      <c r="I314">
        <f t="shared" si="13"/>
        <v>7</v>
      </c>
      <c r="J314" t="str">
        <f t="shared" si="14"/>
        <v>FCIU2405311|46140|46202</v>
      </c>
      <c r="K314" t="str">
        <f t="shared" si="15"/>
        <v>FCIU2405311|20 FT|DRY|ZONA</v>
      </c>
    </row>
    <row r="315" spans="1:11" x14ac:dyDescent="0.2">
      <c r="A315">
        <v>314</v>
      </c>
      <c r="C315" t="s">
        <v>17</v>
      </c>
      <c r="D315" s="1">
        <v>1468543</v>
      </c>
      <c r="E315" t="s">
        <v>149</v>
      </c>
      <c r="F315" s="2">
        <v>46140</v>
      </c>
      <c r="G315" s="2">
        <v>46259</v>
      </c>
      <c r="I315">
        <f t="shared" si="13"/>
        <v>7</v>
      </c>
      <c r="J315" t="str">
        <f t="shared" si="14"/>
        <v>CRSU1468543|46140|46259</v>
      </c>
      <c r="K315" t="str">
        <f t="shared" si="15"/>
        <v>CRSU1468543|20 FT|DRY|ZONA</v>
      </c>
    </row>
    <row r="316" spans="1:11" x14ac:dyDescent="0.2">
      <c r="A316">
        <v>315</v>
      </c>
      <c r="C316" t="s">
        <v>98</v>
      </c>
      <c r="D316" s="1">
        <v>1240962</v>
      </c>
      <c r="E316" t="s">
        <v>149</v>
      </c>
      <c r="F316" s="2">
        <v>46140</v>
      </c>
      <c r="G316" s="2">
        <v>46182</v>
      </c>
      <c r="I316">
        <f t="shared" si="13"/>
        <v>7</v>
      </c>
      <c r="J316" t="str">
        <f t="shared" si="14"/>
        <v>WFHU1240962|46140|46182</v>
      </c>
      <c r="K316" t="str">
        <f t="shared" si="15"/>
        <v>WFHU1240962|20 FT|DRY|ZONA</v>
      </c>
    </row>
    <row r="317" spans="1:11" x14ac:dyDescent="0.2">
      <c r="A317">
        <v>316</v>
      </c>
      <c r="C317" t="s">
        <v>11</v>
      </c>
      <c r="D317" s="1">
        <v>2775184</v>
      </c>
      <c r="E317" t="s">
        <v>149</v>
      </c>
      <c r="F317" s="2">
        <v>46139</v>
      </c>
      <c r="G317" s="2">
        <v>46182</v>
      </c>
      <c r="I317">
        <f t="shared" si="13"/>
        <v>7</v>
      </c>
      <c r="J317" t="str">
        <f t="shared" si="14"/>
        <v>TEMU2775184|46139|46182</v>
      </c>
      <c r="K317" t="str">
        <f t="shared" si="15"/>
        <v>TEMU2775184|20 FT|DRY|ZONA</v>
      </c>
    </row>
    <row r="318" spans="1:11" x14ac:dyDescent="0.2">
      <c r="A318">
        <v>317</v>
      </c>
      <c r="C318" t="s">
        <v>21</v>
      </c>
      <c r="D318" s="1">
        <v>3056343</v>
      </c>
      <c r="E318" t="s">
        <v>149</v>
      </c>
      <c r="F318" s="2">
        <v>46140</v>
      </c>
      <c r="G318" s="2">
        <v>46252</v>
      </c>
      <c r="I318">
        <f t="shared" si="13"/>
        <v>7</v>
      </c>
      <c r="J318" t="str">
        <f t="shared" si="14"/>
        <v>PCIU3056343|46140|46252</v>
      </c>
      <c r="K318" t="str">
        <f t="shared" si="15"/>
        <v>PCIU3056343|20 FT|DRY|ZONA</v>
      </c>
    </row>
    <row r="319" spans="1:11" x14ac:dyDescent="0.2">
      <c r="A319">
        <v>318</v>
      </c>
      <c r="C319" t="s">
        <v>41</v>
      </c>
      <c r="D319" s="1">
        <v>2475368</v>
      </c>
      <c r="E319" t="s">
        <v>149</v>
      </c>
      <c r="F319" s="2">
        <v>46141</v>
      </c>
      <c r="I319">
        <f t="shared" si="13"/>
        <v>7</v>
      </c>
      <c r="J319" t="str">
        <f t="shared" si="14"/>
        <v>BMOU2475368|46141|</v>
      </c>
      <c r="K319" t="str">
        <f t="shared" si="15"/>
        <v>BMOU2475368|20 FT|DRY|ZONA</v>
      </c>
    </row>
    <row r="320" spans="1:11" x14ac:dyDescent="0.2">
      <c r="A320">
        <v>319</v>
      </c>
      <c r="C320" t="s">
        <v>99</v>
      </c>
      <c r="D320" s="1">
        <v>3073288</v>
      </c>
      <c r="E320" t="s">
        <v>149</v>
      </c>
      <c r="F320" s="2">
        <v>46141</v>
      </c>
      <c r="G320" s="2">
        <v>46244</v>
      </c>
      <c r="I320">
        <f t="shared" si="13"/>
        <v>7</v>
      </c>
      <c r="J320" t="str">
        <f t="shared" si="14"/>
        <v>TTNU3073288|46141|46244</v>
      </c>
      <c r="K320" t="str">
        <f t="shared" si="15"/>
        <v>TTNU3073288|20 FT|DRY|ZONA</v>
      </c>
    </row>
    <row r="321" spans="1:11" x14ac:dyDescent="0.2">
      <c r="A321">
        <v>320</v>
      </c>
      <c r="C321" t="s">
        <v>62</v>
      </c>
      <c r="D321" s="1">
        <v>3586854</v>
      </c>
      <c r="E321" t="s">
        <v>149</v>
      </c>
      <c r="F321" s="2">
        <v>46141</v>
      </c>
      <c r="G321" s="2">
        <v>46231</v>
      </c>
      <c r="I321">
        <f t="shared" si="13"/>
        <v>7</v>
      </c>
      <c r="J321" t="str">
        <f t="shared" si="14"/>
        <v>CLHU3586854|46141|46231</v>
      </c>
      <c r="K321" t="str">
        <f t="shared" si="15"/>
        <v>CLHU3586854|20 FT|DRY|ZONA</v>
      </c>
    </row>
    <row r="322" spans="1:11" x14ac:dyDescent="0.2">
      <c r="A322">
        <v>321</v>
      </c>
      <c r="C322" t="s">
        <v>58</v>
      </c>
      <c r="D322" s="1">
        <v>3999218</v>
      </c>
      <c r="E322" t="s">
        <v>149</v>
      </c>
      <c r="F322" s="2">
        <v>46141</v>
      </c>
      <c r="I322">
        <f t="shared" si="13"/>
        <v>7</v>
      </c>
      <c r="J322" t="str">
        <f t="shared" si="14"/>
        <v>EISU3999218|46141|</v>
      </c>
      <c r="K322" t="str">
        <f t="shared" si="15"/>
        <v>EISU3999218|20 FT|DRY|ZONA</v>
      </c>
    </row>
    <row r="323" spans="1:11" x14ac:dyDescent="0.2">
      <c r="A323">
        <v>322</v>
      </c>
      <c r="C323" t="s">
        <v>51</v>
      </c>
      <c r="D323" s="1">
        <v>1231882</v>
      </c>
      <c r="E323" t="s">
        <v>149</v>
      </c>
      <c r="F323" s="2">
        <v>46141</v>
      </c>
      <c r="I323">
        <f t="shared" ref="I323:I385" si="16">LEN(D323)</f>
        <v>7</v>
      </c>
      <c r="J323" t="str">
        <f t="shared" ref="J323:J386" si="17">C323&amp;D323&amp;"|"&amp;F323&amp;"|"&amp;G323</f>
        <v>MEDU1231882|46141|</v>
      </c>
      <c r="K323" t="str">
        <f t="shared" si="15"/>
        <v>MEDU1231882|20 FT|DRY|ZONA</v>
      </c>
    </row>
    <row r="324" spans="1:11" x14ac:dyDescent="0.2">
      <c r="A324">
        <v>323</v>
      </c>
      <c r="C324" t="s">
        <v>2</v>
      </c>
      <c r="D324" s="1">
        <v>3638380</v>
      </c>
      <c r="E324" t="s">
        <v>149</v>
      </c>
      <c r="F324" s="2">
        <v>46141</v>
      </c>
      <c r="G324" s="2">
        <v>46251</v>
      </c>
      <c r="I324">
        <f t="shared" si="16"/>
        <v>7</v>
      </c>
      <c r="J324" t="str">
        <f t="shared" si="17"/>
        <v>GESU3638380|46141|46251</v>
      </c>
      <c r="K324" t="str">
        <f t="shared" si="15"/>
        <v>GESU3638380|20 FT|DRY|ZONA</v>
      </c>
    </row>
    <row r="325" spans="1:11" x14ac:dyDescent="0.2">
      <c r="A325">
        <v>324</v>
      </c>
      <c r="C325" t="s">
        <v>58</v>
      </c>
      <c r="D325" s="1">
        <v>3944703</v>
      </c>
      <c r="E325" t="s">
        <v>149</v>
      </c>
      <c r="F325" s="2">
        <v>46141</v>
      </c>
      <c r="G325" s="2">
        <v>46243</v>
      </c>
      <c r="I325">
        <f t="shared" si="16"/>
        <v>7</v>
      </c>
      <c r="J325" t="str">
        <f t="shared" si="17"/>
        <v>EISU3944703|46141|46243</v>
      </c>
      <c r="K325" t="str">
        <f t="shared" si="15"/>
        <v>EISU3944703|20 FT|DRY|ZONA</v>
      </c>
    </row>
    <row r="326" spans="1:11" x14ac:dyDescent="0.2">
      <c r="A326">
        <v>325</v>
      </c>
      <c r="C326" t="s">
        <v>14</v>
      </c>
      <c r="D326" s="1" t="s">
        <v>15</v>
      </c>
      <c r="E326" t="s">
        <v>149</v>
      </c>
      <c r="F326" s="2">
        <v>46141</v>
      </c>
      <c r="I326">
        <f t="shared" si="16"/>
        <v>7</v>
      </c>
      <c r="J326" t="str">
        <f t="shared" si="17"/>
        <v>WHLU0201602|46141|</v>
      </c>
      <c r="K326" t="str">
        <f t="shared" si="15"/>
        <v>WHLU0201602|20 FT|DRY|ZONA</v>
      </c>
    </row>
    <row r="327" spans="1:11" x14ac:dyDescent="0.2">
      <c r="A327">
        <v>326</v>
      </c>
      <c r="C327" t="s">
        <v>62</v>
      </c>
      <c r="D327" s="1">
        <v>3912950</v>
      </c>
      <c r="E327" t="s">
        <v>149</v>
      </c>
      <c r="F327" s="2">
        <v>46141</v>
      </c>
      <c r="G327" s="2">
        <v>46251</v>
      </c>
      <c r="I327">
        <f t="shared" si="16"/>
        <v>7</v>
      </c>
      <c r="J327" t="str">
        <f t="shared" si="17"/>
        <v>CLHU3912950|46141|46251</v>
      </c>
      <c r="K327" t="str">
        <f t="shared" si="15"/>
        <v>CLHU3912950|20 FT|DRY|ZONA</v>
      </c>
    </row>
    <row r="328" spans="1:11" x14ac:dyDescent="0.2">
      <c r="A328">
        <v>327</v>
      </c>
      <c r="C328" t="s">
        <v>62</v>
      </c>
      <c r="D328" s="1">
        <v>3164099</v>
      </c>
      <c r="E328" t="s">
        <v>149</v>
      </c>
      <c r="F328" s="2">
        <v>46141</v>
      </c>
      <c r="G328" s="2">
        <v>46237</v>
      </c>
      <c r="I328">
        <f t="shared" si="16"/>
        <v>7</v>
      </c>
      <c r="J328" t="str">
        <f t="shared" si="17"/>
        <v>CLHU3164099|46141|46237</v>
      </c>
      <c r="K328" t="str">
        <f t="shared" si="15"/>
        <v>CLHU3164099|20 FT|DRY|ZONA</v>
      </c>
    </row>
    <row r="329" spans="1:11" x14ac:dyDescent="0.2">
      <c r="A329">
        <v>328</v>
      </c>
      <c r="C329" t="s">
        <v>91</v>
      </c>
      <c r="D329" s="1">
        <v>1085662</v>
      </c>
      <c r="E329" t="s">
        <v>149</v>
      </c>
      <c r="F329" s="2">
        <v>46142</v>
      </c>
      <c r="G329" s="2">
        <v>46250</v>
      </c>
      <c r="I329">
        <f t="shared" si="16"/>
        <v>7</v>
      </c>
      <c r="J329" t="str">
        <f t="shared" si="17"/>
        <v>XINU1085662|46142|46250</v>
      </c>
      <c r="K329" t="str">
        <f t="shared" si="15"/>
        <v>XINU1085662|20 FT|DRY|ZONA</v>
      </c>
    </row>
    <row r="330" spans="1:11" x14ac:dyDescent="0.2">
      <c r="A330">
        <v>329</v>
      </c>
      <c r="C330" t="s">
        <v>41</v>
      </c>
      <c r="D330" s="1">
        <v>2448486</v>
      </c>
      <c r="E330" t="s">
        <v>149</v>
      </c>
      <c r="F330" s="2">
        <v>46142</v>
      </c>
      <c r="G330" s="2">
        <v>46221</v>
      </c>
      <c r="I330">
        <f t="shared" si="16"/>
        <v>7</v>
      </c>
      <c r="J330" t="str">
        <f t="shared" si="17"/>
        <v>BMOU2448486|46142|46221</v>
      </c>
      <c r="K330" t="str">
        <f t="shared" si="15"/>
        <v>BMOU2448486|20 FT|DRY|ZONA</v>
      </c>
    </row>
    <row r="331" spans="1:11" x14ac:dyDescent="0.2">
      <c r="A331">
        <v>330</v>
      </c>
      <c r="C331" t="s">
        <v>10</v>
      </c>
      <c r="D331" s="1">
        <v>1623960</v>
      </c>
      <c r="E331" t="s">
        <v>149</v>
      </c>
      <c r="F331" s="2">
        <v>46142</v>
      </c>
      <c r="G331" s="2">
        <v>46231</v>
      </c>
      <c r="I331">
        <f t="shared" si="16"/>
        <v>7</v>
      </c>
      <c r="J331" t="str">
        <f t="shared" si="17"/>
        <v>OOLU1623960|46142|46231</v>
      </c>
      <c r="K331" t="str">
        <f t="shared" si="15"/>
        <v>OOLU1623960|20 FT|DRY|ZONA</v>
      </c>
    </row>
    <row r="332" spans="1:11" x14ac:dyDescent="0.2">
      <c r="A332">
        <v>331</v>
      </c>
      <c r="C332" t="s">
        <v>11</v>
      </c>
      <c r="D332" s="1">
        <v>2346554</v>
      </c>
      <c r="E332" t="s">
        <v>149</v>
      </c>
      <c r="F332" s="2">
        <v>46142</v>
      </c>
      <c r="G332" s="2">
        <v>46233</v>
      </c>
      <c r="I332">
        <f t="shared" si="16"/>
        <v>7</v>
      </c>
      <c r="J332" t="str">
        <f t="shared" si="17"/>
        <v>TEMU2346554|46142|46233</v>
      </c>
      <c r="K332" t="str">
        <f t="shared" ref="K332:K395" si="18">C332&amp;D332&amp;"|"&amp;E332&amp;"|"&amp;"DRY"&amp;"|"&amp;"ZONA"</f>
        <v>TEMU2346554|20 FT|DRY|ZONA</v>
      </c>
    </row>
    <row r="333" spans="1:11" x14ac:dyDescent="0.2">
      <c r="A333">
        <v>332</v>
      </c>
      <c r="C333" t="s">
        <v>41</v>
      </c>
      <c r="D333" s="1">
        <v>2014772</v>
      </c>
      <c r="E333" t="s">
        <v>149</v>
      </c>
      <c r="F333" s="2">
        <v>46142</v>
      </c>
      <c r="G333" s="2">
        <v>46252</v>
      </c>
      <c r="I333">
        <f t="shared" si="16"/>
        <v>7</v>
      </c>
      <c r="J333" t="str">
        <f t="shared" si="17"/>
        <v>BMOU2014772|46142|46252</v>
      </c>
      <c r="K333" t="str">
        <f t="shared" si="18"/>
        <v>BMOU2014772|20 FT|DRY|ZONA</v>
      </c>
    </row>
    <row r="334" spans="1:11" x14ac:dyDescent="0.2">
      <c r="A334">
        <v>333</v>
      </c>
      <c r="C334" t="s">
        <v>25</v>
      </c>
      <c r="D334" s="1">
        <v>2302717</v>
      </c>
      <c r="E334" t="s">
        <v>149</v>
      </c>
      <c r="F334" s="2">
        <v>46143</v>
      </c>
      <c r="I334">
        <f t="shared" si="16"/>
        <v>7</v>
      </c>
      <c r="J334" t="str">
        <f t="shared" si="17"/>
        <v>DRYU2302717|46143|</v>
      </c>
      <c r="K334" t="str">
        <f t="shared" si="18"/>
        <v>DRYU2302717|20 FT|DRY|ZONA</v>
      </c>
    </row>
    <row r="335" spans="1:11" x14ac:dyDescent="0.2">
      <c r="A335">
        <v>334</v>
      </c>
      <c r="C335" t="s">
        <v>29</v>
      </c>
      <c r="D335" s="1">
        <v>1143128</v>
      </c>
      <c r="E335" t="s">
        <v>149</v>
      </c>
      <c r="F335" s="2">
        <v>46142</v>
      </c>
      <c r="I335">
        <f t="shared" si="16"/>
        <v>7</v>
      </c>
      <c r="J335" t="str">
        <f t="shared" si="17"/>
        <v>CRXU1143128|46142|</v>
      </c>
      <c r="K335" t="str">
        <f t="shared" si="18"/>
        <v>CRXU1143128|20 FT|DRY|ZONA</v>
      </c>
    </row>
    <row r="336" spans="1:11" x14ac:dyDescent="0.2">
      <c r="A336">
        <v>335</v>
      </c>
      <c r="C336" t="s">
        <v>41</v>
      </c>
      <c r="D336" s="1">
        <v>2894370</v>
      </c>
      <c r="E336" t="s">
        <v>149</v>
      </c>
      <c r="F336" s="2">
        <v>46142</v>
      </c>
      <c r="I336">
        <f t="shared" si="16"/>
        <v>7</v>
      </c>
      <c r="J336" t="str">
        <f t="shared" si="17"/>
        <v>BMOU2894370|46142|</v>
      </c>
      <c r="K336" t="str">
        <f t="shared" si="18"/>
        <v>BMOU2894370|20 FT|DRY|ZONA</v>
      </c>
    </row>
    <row r="337" spans="1:11" x14ac:dyDescent="0.2">
      <c r="A337">
        <v>336</v>
      </c>
      <c r="C337" t="s">
        <v>100</v>
      </c>
      <c r="D337" s="1">
        <v>2278060</v>
      </c>
      <c r="E337" t="s">
        <v>149</v>
      </c>
      <c r="F337" s="2">
        <v>46142</v>
      </c>
      <c r="I337">
        <f t="shared" si="16"/>
        <v>7</v>
      </c>
      <c r="J337" t="str">
        <f t="shared" si="17"/>
        <v>MRLU2278060|46142|</v>
      </c>
      <c r="K337" t="str">
        <f t="shared" si="18"/>
        <v>MRLU2278060|20 FT|DRY|ZONA</v>
      </c>
    </row>
    <row r="338" spans="1:11" x14ac:dyDescent="0.2">
      <c r="A338">
        <v>337</v>
      </c>
      <c r="C338" t="s">
        <v>38</v>
      </c>
      <c r="D338" s="1">
        <v>8986930</v>
      </c>
      <c r="E338" t="s">
        <v>149</v>
      </c>
      <c r="F338" s="2">
        <v>46142</v>
      </c>
      <c r="G338" s="2">
        <v>46251</v>
      </c>
      <c r="I338">
        <f t="shared" si="16"/>
        <v>7</v>
      </c>
      <c r="J338" t="str">
        <f t="shared" si="17"/>
        <v>TRLU8986930|46142|46251</v>
      </c>
      <c r="K338" t="str">
        <f t="shared" si="18"/>
        <v>TRLU8986930|20 FT|DRY|ZONA</v>
      </c>
    </row>
    <row r="339" spans="1:11" x14ac:dyDescent="0.2">
      <c r="A339">
        <v>338</v>
      </c>
      <c r="C339" t="s">
        <v>2</v>
      </c>
      <c r="D339" s="1">
        <v>3033949</v>
      </c>
      <c r="E339" t="s">
        <v>149</v>
      </c>
      <c r="F339" s="2">
        <v>46142</v>
      </c>
      <c r="I339">
        <f t="shared" si="16"/>
        <v>7</v>
      </c>
      <c r="J339" t="str">
        <f t="shared" si="17"/>
        <v>GESU3033949|46142|</v>
      </c>
      <c r="K339" t="str">
        <f t="shared" si="18"/>
        <v>GESU3033949|20 FT|DRY|ZONA</v>
      </c>
    </row>
    <row r="340" spans="1:11" x14ac:dyDescent="0.2">
      <c r="A340">
        <v>339</v>
      </c>
      <c r="C340" t="s">
        <v>11</v>
      </c>
      <c r="D340" s="1">
        <v>3258062</v>
      </c>
      <c r="E340" t="s">
        <v>149</v>
      </c>
      <c r="F340" s="2">
        <v>46142</v>
      </c>
      <c r="G340" s="2">
        <v>46202</v>
      </c>
      <c r="I340">
        <f t="shared" si="16"/>
        <v>7</v>
      </c>
      <c r="J340" t="str">
        <f t="shared" si="17"/>
        <v>TEMU3258062|46142|46202</v>
      </c>
      <c r="K340" t="str">
        <f t="shared" si="18"/>
        <v>TEMU3258062|20 FT|DRY|ZONA</v>
      </c>
    </row>
    <row r="341" spans="1:11" x14ac:dyDescent="0.2">
      <c r="A341">
        <v>340</v>
      </c>
      <c r="C341" t="s">
        <v>31</v>
      </c>
      <c r="D341" s="1">
        <v>3559801</v>
      </c>
      <c r="E341" t="s">
        <v>149</v>
      </c>
      <c r="F341" s="2">
        <v>46142</v>
      </c>
      <c r="G341" s="2">
        <v>46251</v>
      </c>
      <c r="I341">
        <f t="shared" si="16"/>
        <v>7</v>
      </c>
      <c r="J341" t="str">
        <f t="shared" si="17"/>
        <v>CCLU3559801|46142|46251</v>
      </c>
      <c r="K341" t="str">
        <f t="shared" si="18"/>
        <v>CCLU3559801|20 FT|DRY|ZONA</v>
      </c>
    </row>
    <row r="342" spans="1:11" x14ac:dyDescent="0.2">
      <c r="A342">
        <v>341</v>
      </c>
      <c r="C342" t="s">
        <v>3</v>
      </c>
      <c r="D342" s="1">
        <v>2016552</v>
      </c>
      <c r="E342" t="s">
        <v>149</v>
      </c>
      <c r="F342" s="2">
        <v>46142</v>
      </c>
      <c r="G342" s="2">
        <v>46260</v>
      </c>
      <c r="I342">
        <f t="shared" si="16"/>
        <v>7</v>
      </c>
      <c r="J342" t="str">
        <f t="shared" si="17"/>
        <v>MSKU2016552|46142|46260</v>
      </c>
      <c r="K342" t="str">
        <f t="shared" si="18"/>
        <v>MSKU2016552|20 FT|DRY|ZONA</v>
      </c>
    </row>
    <row r="343" spans="1:11" x14ac:dyDescent="0.2">
      <c r="A343">
        <v>342</v>
      </c>
      <c r="C343" t="s">
        <v>49</v>
      </c>
      <c r="D343" s="1">
        <v>4206507</v>
      </c>
      <c r="E343" t="s">
        <v>149</v>
      </c>
      <c r="F343" s="2">
        <v>46142</v>
      </c>
      <c r="G343" s="2">
        <v>46243</v>
      </c>
      <c r="I343">
        <f t="shared" si="16"/>
        <v>7</v>
      </c>
      <c r="J343" t="str">
        <f t="shared" si="17"/>
        <v>ZONA4206507|46142|46243</v>
      </c>
      <c r="K343" t="str">
        <f t="shared" si="18"/>
        <v>ZONA4206507|20 FT|DRY|ZONA</v>
      </c>
    </row>
    <row r="344" spans="1:11" x14ac:dyDescent="0.2">
      <c r="A344">
        <v>343</v>
      </c>
      <c r="C344" t="s">
        <v>34</v>
      </c>
      <c r="D344" s="1">
        <v>1028779</v>
      </c>
      <c r="E344" t="s">
        <v>149</v>
      </c>
      <c r="F344" s="2">
        <v>46143</v>
      </c>
      <c r="G344" s="2">
        <v>46229</v>
      </c>
      <c r="I344">
        <f t="shared" si="16"/>
        <v>7</v>
      </c>
      <c r="J344" t="str">
        <f t="shared" si="17"/>
        <v>SEGU1028779|46143|46229</v>
      </c>
      <c r="K344" t="str">
        <f t="shared" si="18"/>
        <v>SEGU1028779|20 FT|DRY|ZONA</v>
      </c>
    </row>
    <row r="345" spans="1:11" x14ac:dyDescent="0.2">
      <c r="A345">
        <v>344</v>
      </c>
      <c r="C345" t="s">
        <v>25</v>
      </c>
      <c r="D345" s="1">
        <v>2203289</v>
      </c>
      <c r="E345" t="s">
        <v>149</v>
      </c>
      <c r="F345" s="2">
        <v>46143</v>
      </c>
      <c r="G345" s="2">
        <v>46251</v>
      </c>
      <c r="I345">
        <f t="shared" si="16"/>
        <v>7</v>
      </c>
      <c r="J345" t="str">
        <f t="shared" si="17"/>
        <v>DRYU2203289|46143|46251</v>
      </c>
      <c r="K345" t="str">
        <f t="shared" si="18"/>
        <v>DRYU2203289|20 FT|DRY|ZONA</v>
      </c>
    </row>
    <row r="346" spans="1:11" x14ac:dyDescent="0.2">
      <c r="A346">
        <v>345</v>
      </c>
      <c r="C346" t="s">
        <v>25</v>
      </c>
      <c r="D346" s="1">
        <v>2372740</v>
      </c>
      <c r="E346" t="s">
        <v>149</v>
      </c>
      <c r="F346" s="2">
        <v>46143</v>
      </c>
      <c r="I346">
        <f t="shared" si="16"/>
        <v>7</v>
      </c>
      <c r="J346" t="str">
        <f t="shared" si="17"/>
        <v>DRYU2372740|46143|</v>
      </c>
      <c r="K346" t="str">
        <f t="shared" si="18"/>
        <v>DRYU2372740|20 FT|DRY|ZONA</v>
      </c>
    </row>
    <row r="347" spans="1:11" x14ac:dyDescent="0.2">
      <c r="A347">
        <v>346</v>
      </c>
      <c r="C347" t="s">
        <v>58</v>
      </c>
      <c r="D347" s="1">
        <v>3946650</v>
      </c>
      <c r="E347" t="s">
        <v>149</v>
      </c>
      <c r="F347" s="2">
        <v>46143</v>
      </c>
      <c r="G347" s="2">
        <v>46246</v>
      </c>
      <c r="I347">
        <f t="shared" si="16"/>
        <v>7</v>
      </c>
      <c r="J347" t="str">
        <f t="shared" si="17"/>
        <v>EISU3946650|46143|46246</v>
      </c>
      <c r="K347" t="str">
        <f t="shared" si="18"/>
        <v>EISU3946650|20 FT|DRY|ZONA</v>
      </c>
    </row>
    <row r="348" spans="1:11" x14ac:dyDescent="0.2">
      <c r="A348">
        <v>348</v>
      </c>
      <c r="C348" t="s">
        <v>102</v>
      </c>
      <c r="D348" s="1">
        <v>3851180</v>
      </c>
      <c r="E348" t="s">
        <v>149</v>
      </c>
      <c r="F348" s="2">
        <v>46143</v>
      </c>
      <c r="G348" s="2">
        <v>46268</v>
      </c>
      <c r="I348">
        <f t="shared" si="16"/>
        <v>7</v>
      </c>
      <c r="J348" t="str">
        <f t="shared" si="17"/>
        <v>ZCIU3851180|46143|46268</v>
      </c>
      <c r="K348" t="str">
        <f t="shared" si="18"/>
        <v>ZCIU3851180|20 FT|DRY|ZONA</v>
      </c>
    </row>
    <row r="349" spans="1:11" x14ac:dyDescent="0.2">
      <c r="A349">
        <v>349</v>
      </c>
      <c r="C349" t="s">
        <v>103</v>
      </c>
      <c r="D349" s="1">
        <v>2069151</v>
      </c>
      <c r="E349" t="s">
        <v>149</v>
      </c>
      <c r="F349" s="2">
        <v>46143</v>
      </c>
      <c r="G349" s="2">
        <v>46248</v>
      </c>
      <c r="I349">
        <f t="shared" si="16"/>
        <v>7</v>
      </c>
      <c r="J349" t="str">
        <f t="shared" si="17"/>
        <v>RFCU2069151|46143|46248</v>
      </c>
      <c r="K349" t="str">
        <f t="shared" si="18"/>
        <v>RFCU2069151|20 FT|DRY|ZONA</v>
      </c>
    </row>
    <row r="350" spans="1:11" x14ac:dyDescent="0.2">
      <c r="A350">
        <v>350</v>
      </c>
      <c r="C350" t="s">
        <v>29</v>
      </c>
      <c r="D350" s="1">
        <v>1276218</v>
      </c>
      <c r="E350" t="s">
        <v>149</v>
      </c>
      <c r="F350" s="2">
        <v>46143</v>
      </c>
      <c r="G350" s="2">
        <v>46249</v>
      </c>
      <c r="I350">
        <f t="shared" si="16"/>
        <v>7</v>
      </c>
      <c r="J350" t="str">
        <f t="shared" si="17"/>
        <v>CRXU1276218|46143|46249</v>
      </c>
      <c r="K350" t="str">
        <f t="shared" si="18"/>
        <v>CRXU1276218|20 FT|DRY|ZONA</v>
      </c>
    </row>
    <row r="351" spans="1:11" x14ac:dyDescent="0.2">
      <c r="A351">
        <v>351</v>
      </c>
      <c r="C351" t="s">
        <v>25</v>
      </c>
      <c r="D351" s="1">
        <v>2244842</v>
      </c>
      <c r="E351" t="s">
        <v>149</v>
      </c>
      <c r="F351" s="2">
        <v>46143</v>
      </c>
      <c r="G351" s="2">
        <v>46251</v>
      </c>
      <c r="I351">
        <f t="shared" si="16"/>
        <v>7</v>
      </c>
      <c r="J351" t="str">
        <f t="shared" si="17"/>
        <v>DRYU2244842|46143|46251</v>
      </c>
      <c r="K351" t="str">
        <f t="shared" si="18"/>
        <v>DRYU2244842|20 FT|DRY|ZONA</v>
      </c>
    </row>
    <row r="352" spans="1:11" x14ac:dyDescent="0.2">
      <c r="A352">
        <v>352</v>
      </c>
      <c r="C352" t="s">
        <v>25</v>
      </c>
      <c r="D352" s="1">
        <v>2121745</v>
      </c>
      <c r="E352" t="s">
        <v>149</v>
      </c>
      <c r="F352" s="2">
        <v>46143</v>
      </c>
      <c r="G352" s="2">
        <v>46203</v>
      </c>
      <c r="I352">
        <f t="shared" si="16"/>
        <v>7</v>
      </c>
      <c r="J352" t="str">
        <f t="shared" si="17"/>
        <v>DRYU2121745|46143|46203</v>
      </c>
      <c r="K352" t="str">
        <f t="shared" si="18"/>
        <v>DRYU2121745|20 FT|DRY|ZONA</v>
      </c>
    </row>
    <row r="353" spans="1:11" x14ac:dyDescent="0.2">
      <c r="A353">
        <v>353</v>
      </c>
      <c r="C353" t="s">
        <v>5</v>
      </c>
      <c r="D353" s="1">
        <v>1423468</v>
      </c>
      <c r="E353" t="s">
        <v>149</v>
      </c>
      <c r="F353" s="2">
        <v>46143</v>
      </c>
      <c r="I353">
        <f t="shared" si="16"/>
        <v>7</v>
      </c>
      <c r="J353" t="str">
        <f t="shared" si="17"/>
        <v>TGHU1423468|46143|</v>
      </c>
      <c r="K353" t="str">
        <f t="shared" si="18"/>
        <v>TGHU1423468|20 FT|DRY|ZONA</v>
      </c>
    </row>
    <row r="354" spans="1:11" x14ac:dyDescent="0.2">
      <c r="A354">
        <v>354</v>
      </c>
      <c r="C354" t="s">
        <v>25</v>
      </c>
      <c r="D354" s="1">
        <v>2456184</v>
      </c>
      <c r="E354" t="s">
        <v>149</v>
      </c>
      <c r="F354" s="2">
        <v>46144</v>
      </c>
      <c r="I354">
        <f t="shared" si="16"/>
        <v>7</v>
      </c>
      <c r="J354" t="str">
        <f t="shared" si="17"/>
        <v>DRYU2456184|46144|</v>
      </c>
      <c r="K354" t="str">
        <f t="shared" si="18"/>
        <v>DRYU2456184|20 FT|DRY|ZONA</v>
      </c>
    </row>
    <row r="355" spans="1:11" x14ac:dyDescent="0.2">
      <c r="A355">
        <v>355</v>
      </c>
      <c r="C355" t="s">
        <v>41</v>
      </c>
      <c r="D355" s="1">
        <v>2858623</v>
      </c>
      <c r="E355" t="s">
        <v>149</v>
      </c>
      <c r="F355" s="2">
        <v>46144</v>
      </c>
      <c r="I355">
        <f t="shared" si="16"/>
        <v>7</v>
      </c>
      <c r="J355" t="str">
        <f t="shared" si="17"/>
        <v>BMOU2858623|46144|</v>
      </c>
      <c r="K355" t="str">
        <f t="shared" si="18"/>
        <v>BMOU2858623|20 FT|DRY|ZONA</v>
      </c>
    </row>
    <row r="356" spans="1:11" x14ac:dyDescent="0.2">
      <c r="A356">
        <v>356</v>
      </c>
      <c r="C356" t="s">
        <v>25</v>
      </c>
      <c r="D356" s="1">
        <v>2297570</v>
      </c>
      <c r="E356" t="s">
        <v>149</v>
      </c>
      <c r="F356" s="2">
        <v>46144</v>
      </c>
      <c r="G356" s="2">
        <v>46231</v>
      </c>
      <c r="I356">
        <f t="shared" si="16"/>
        <v>7</v>
      </c>
      <c r="J356" t="str">
        <f t="shared" si="17"/>
        <v>DRYU2297570|46144|46231</v>
      </c>
      <c r="K356" t="str">
        <f t="shared" si="18"/>
        <v>DRYU2297570|20 FT|DRY|ZONA</v>
      </c>
    </row>
    <row r="357" spans="1:11" x14ac:dyDescent="0.2">
      <c r="A357">
        <v>357</v>
      </c>
      <c r="C357" t="s">
        <v>36</v>
      </c>
      <c r="D357" s="1">
        <v>1319457</v>
      </c>
      <c r="E357" t="s">
        <v>149</v>
      </c>
      <c r="F357" s="2">
        <v>46144</v>
      </c>
      <c r="I357">
        <f t="shared" si="16"/>
        <v>7</v>
      </c>
      <c r="J357" t="str">
        <f t="shared" si="17"/>
        <v>CXDU1319457|46144|</v>
      </c>
      <c r="K357" t="str">
        <f t="shared" si="18"/>
        <v>CXDU1319457|20 FT|DRY|ZONA</v>
      </c>
    </row>
    <row r="358" spans="1:11" x14ac:dyDescent="0.2">
      <c r="A358">
        <v>358</v>
      </c>
      <c r="C358" t="s">
        <v>25</v>
      </c>
      <c r="D358" s="1">
        <v>2571737</v>
      </c>
      <c r="E358" t="s">
        <v>149</v>
      </c>
      <c r="F358" s="2">
        <v>46144</v>
      </c>
      <c r="G358" s="2">
        <v>46245</v>
      </c>
      <c r="I358">
        <f t="shared" si="16"/>
        <v>7</v>
      </c>
      <c r="J358" t="str">
        <f t="shared" si="17"/>
        <v>DRYU2571737|46144|46245</v>
      </c>
      <c r="K358" t="str">
        <f t="shared" si="18"/>
        <v>DRYU2571737|20 FT|DRY|ZONA</v>
      </c>
    </row>
    <row r="359" spans="1:11" x14ac:dyDescent="0.2">
      <c r="A359">
        <v>359</v>
      </c>
      <c r="C359" t="s">
        <v>23</v>
      </c>
      <c r="D359" s="1">
        <v>3978402</v>
      </c>
      <c r="E359" t="s">
        <v>149</v>
      </c>
      <c r="F359" s="2">
        <v>46144</v>
      </c>
      <c r="G359" s="2">
        <v>46251</v>
      </c>
      <c r="I359">
        <f t="shared" si="16"/>
        <v>7</v>
      </c>
      <c r="J359" t="str">
        <f t="shared" si="17"/>
        <v>EMCU3978402|46144|46251</v>
      </c>
      <c r="K359" t="str">
        <f t="shared" si="18"/>
        <v>EMCU3978402|20 FT|DRY|ZONA</v>
      </c>
    </row>
    <row r="360" spans="1:11" x14ac:dyDescent="0.2">
      <c r="A360">
        <v>360</v>
      </c>
      <c r="C360" t="s">
        <v>5</v>
      </c>
      <c r="D360" s="1">
        <v>1681760</v>
      </c>
      <c r="E360" t="s">
        <v>149</v>
      </c>
      <c r="F360" s="2">
        <v>46143</v>
      </c>
      <c r="G360" s="2">
        <v>46251</v>
      </c>
      <c r="I360">
        <f t="shared" si="16"/>
        <v>7</v>
      </c>
      <c r="J360" t="str">
        <f t="shared" si="17"/>
        <v>TGHU1681760|46143|46251</v>
      </c>
      <c r="K360" t="str">
        <f t="shared" si="18"/>
        <v>TGHU1681760|20 FT|DRY|ZONA</v>
      </c>
    </row>
    <row r="361" spans="1:11" x14ac:dyDescent="0.2">
      <c r="A361">
        <v>361</v>
      </c>
      <c r="C361" t="s">
        <v>11</v>
      </c>
      <c r="D361" s="1">
        <v>2365317</v>
      </c>
      <c r="E361" t="s">
        <v>149</v>
      </c>
      <c r="F361" s="2">
        <v>46143</v>
      </c>
      <c r="G361" s="2">
        <v>46250</v>
      </c>
      <c r="I361">
        <f t="shared" si="16"/>
        <v>7</v>
      </c>
      <c r="J361" t="str">
        <f t="shared" si="17"/>
        <v>TEMU2365317|46143|46250</v>
      </c>
      <c r="K361" t="str">
        <f t="shared" si="18"/>
        <v>TEMU2365317|20 FT|DRY|ZONA</v>
      </c>
    </row>
    <row r="362" spans="1:11" x14ac:dyDescent="0.2">
      <c r="A362">
        <v>362</v>
      </c>
      <c r="C362" t="s">
        <v>104</v>
      </c>
      <c r="D362" s="1">
        <v>9088014</v>
      </c>
      <c r="E362" t="s">
        <v>149</v>
      </c>
      <c r="F362" s="2">
        <v>46143</v>
      </c>
      <c r="G362" s="2">
        <v>46251</v>
      </c>
      <c r="I362">
        <f t="shared" si="16"/>
        <v>7</v>
      </c>
      <c r="J362" t="str">
        <f t="shared" si="17"/>
        <v>DAVU9088014|46143|46251</v>
      </c>
      <c r="K362" t="str">
        <f t="shared" si="18"/>
        <v>DAVU9088014|20 FT|DRY|ZONA</v>
      </c>
    </row>
    <row r="363" spans="1:11" x14ac:dyDescent="0.2">
      <c r="A363">
        <v>363</v>
      </c>
      <c r="B363" t="s">
        <v>109</v>
      </c>
      <c r="C363" t="s">
        <v>14</v>
      </c>
      <c r="D363" s="1" t="s">
        <v>101</v>
      </c>
      <c r="E363" t="s">
        <v>149</v>
      </c>
      <c r="F363" s="2">
        <v>46143</v>
      </c>
      <c r="G363" s="2">
        <v>46241</v>
      </c>
      <c r="I363">
        <f t="shared" si="16"/>
        <v>7</v>
      </c>
      <c r="J363" t="str">
        <f t="shared" si="17"/>
        <v>WHLU0296911|46143|46241</v>
      </c>
      <c r="K363" t="str">
        <f t="shared" si="18"/>
        <v>WHLU0296911|20 FT|DRY|ZONA</v>
      </c>
    </row>
    <row r="364" spans="1:11" x14ac:dyDescent="0.2">
      <c r="A364">
        <v>364</v>
      </c>
      <c r="C364" t="s">
        <v>29</v>
      </c>
      <c r="D364" s="1" t="s">
        <v>105</v>
      </c>
      <c r="E364" t="s">
        <v>149</v>
      </c>
      <c r="F364" s="2">
        <v>46156</v>
      </c>
      <c r="G364" s="2">
        <v>46268</v>
      </c>
      <c r="I364">
        <f t="shared" si="16"/>
        <v>7</v>
      </c>
      <c r="J364" t="str">
        <f t="shared" si="17"/>
        <v>CRXU1280141|46156|46268</v>
      </c>
      <c r="K364" t="str">
        <f t="shared" si="18"/>
        <v>CRXU1280141|20 FT|DRY|ZONA</v>
      </c>
    </row>
    <row r="365" spans="1:11" x14ac:dyDescent="0.2">
      <c r="A365">
        <v>365</v>
      </c>
      <c r="C365" t="s">
        <v>32</v>
      </c>
      <c r="D365" s="1">
        <v>3182248</v>
      </c>
      <c r="E365" t="s">
        <v>149</v>
      </c>
      <c r="F365" s="2">
        <v>46155</v>
      </c>
      <c r="G365" s="2">
        <v>46251</v>
      </c>
      <c r="I365">
        <f t="shared" si="16"/>
        <v>7</v>
      </c>
      <c r="J365" t="str">
        <f t="shared" si="17"/>
        <v>FSCU3182248|46155|46251</v>
      </c>
      <c r="K365" t="str">
        <f t="shared" si="18"/>
        <v>FSCU3182248|20 FT|DRY|ZONA</v>
      </c>
    </row>
    <row r="366" spans="1:11" x14ac:dyDescent="0.2">
      <c r="A366">
        <v>366</v>
      </c>
      <c r="B366" t="s">
        <v>109</v>
      </c>
      <c r="C366" t="s">
        <v>14</v>
      </c>
      <c r="D366" s="1" t="s">
        <v>132</v>
      </c>
      <c r="E366" t="s">
        <v>149</v>
      </c>
      <c r="F366" s="2">
        <v>46155</v>
      </c>
      <c r="G366" s="2">
        <v>46253</v>
      </c>
      <c r="I366">
        <f t="shared" si="16"/>
        <v>7</v>
      </c>
      <c r="J366" t="str">
        <f t="shared" si="17"/>
        <v>WHLU0293635|46155|46253</v>
      </c>
      <c r="K366" t="str">
        <f t="shared" si="18"/>
        <v>WHLU0293635|20 FT|DRY|ZONA</v>
      </c>
    </row>
    <row r="367" spans="1:11" x14ac:dyDescent="0.2">
      <c r="A367">
        <v>367</v>
      </c>
      <c r="C367" t="s">
        <v>26</v>
      </c>
      <c r="D367" s="1">
        <v>1361748</v>
      </c>
      <c r="E367" t="s">
        <v>149</v>
      </c>
      <c r="F367" s="2">
        <v>46137</v>
      </c>
      <c r="G367" s="2">
        <v>46256</v>
      </c>
      <c r="I367">
        <f t="shared" si="16"/>
        <v>7</v>
      </c>
      <c r="J367" t="str">
        <f t="shared" si="17"/>
        <v>GATU1361748|46137|46256</v>
      </c>
      <c r="K367" t="str">
        <f t="shared" si="18"/>
        <v>GATU1361748|20 FT|DRY|ZONA</v>
      </c>
    </row>
    <row r="368" spans="1:11" x14ac:dyDescent="0.2">
      <c r="A368">
        <v>368</v>
      </c>
      <c r="C368" t="s">
        <v>2</v>
      </c>
      <c r="D368" s="1">
        <v>3600488</v>
      </c>
      <c r="E368" t="s">
        <v>149</v>
      </c>
      <c r="F368" s="2">
        <v>46065</v>
      </c>
      <c r="I368">
        <f t="shared" si="16"/>
        <v>7</v>
      </c>
      <c r="J368" t="str">
        <f t="shared" si="17"/>
        <v>GESU3600488|46065|</v>
      </c>
      <c r="K368" t="str">
        <f t="shared" si="18"/>
        <v>GESU3600488|20 FT|DRY|ZONA</v>
      </c>
    </row>
    <row r="369" spans="1:11" x14ac:dyDescent="0.2">
      <c r="A369">
        <v>369</v>
      </c>
      <c r="C369" t="s">
        <v>25</v>
      </c>
      <c r="D369" s="1">
        <v>2301710</v>
      </c>
      <c r="E369" t="s">
        <v>149</v>
      </c>
      <c r="F369" s="2">
        <v>46153</v>
      </c>
      <c r="G369" s="2">
        <v>46233</v>
      </c>
      <c r="I369">
        <f t="shared" si="16"/>
        <v>7</v>
      </c>
      <c r="J369" t="str">
        <f t="shared" si="17"/>
        <v>DRYU2301710|46153|46233</v>
      </c>
      <c r="K369" t="str">
        <f t="shared" si="18"/>
        <v>DRYU2301710|20 FT|DRY|ZONA</v>
      </c>
    </row>
    <row r="370" spans="1:11" x14ac:dyDescent="0.2">
      <c r="A370">
        <v>370</v>
      </c>
      <c r="C370" t="s">
        <v>110</v>
      </c>
      <c r="D370" s="1">
        <v>2946381</v>
      </c>
      <c r="E370" t="s">
        <v>149</v>
      </c>
      <c r="F370" s="2">
        <v>46153</v>
      </c>
      <c r="G370" s="2">
        <v>46245</v>
      </c>
      <c r="I370">
        <f t="shared" si="16"/>
        <v>7</v>
      </c>
      <c r="J370" t="str">
        <f t="shared" si="17"/>
        <v>BSIU2946381|46153|46245</v>
      </c>
      <c r="K370" t="str">
        <f t="shared" si="18"/>
        <v>BSIU2946381|20 FT|DRY|ZONA</v>
      </c>
    </row>
    <row r="371" spans="1:11" x14ac:dyDescent="0.2">
      <c r="A371">
        <v>371</v>
      </c>
      <c r="C371" t="s">
        <v>111</v>
      </c>
      <c r="D371" s="1">
        <v>2082204</v>
      </c>
      <c r="E371" t="s">
        <v>149</v>
      </c>
      <c r="F371" s="2">
        <v>46153</v>
      </c>
      <c r="I371">
        <f t="shared" si="16"/>
        <v>7</v>
      </c>
      <c r="J371" t="str">
        <f t="shared" si="17"/>
        <v>SCMU2082204|46153|</v>
      </c>
      <c r="K371" t="str">
        <f t="shared" si="18"/>
        <v>SCMU2082204|20 FT|DRY|ZONA</v>
      </c>
    </row>
    <row r="372" spans="1:11" x14ac:dyDescent="0.2">
      <c r="A372">
        <v>372</v>
      </c>
      <c r="C372" t="s">
        <v>19</v>
      </c>
      <c r="D372" s="1">
        <v>2622206</v>
      </c>
      <c r="E372" t="s">
        <v>149</v>
      </c>
      <c r="F372" s="2">
        <v>46153</v>
      </c>
      <c r="G372" s="2">
        <v>46212</v>
      </c>
      <c r="I372">
        <f t="shared" si="16"/>
        <v>7</v>
      </c>
      <c r="J372" t="str">
        <f t="shared" si="17"/>
        <v>DNAU2622206|46153|46212</v>
      </c>
      <c r="K372" t="str">
        <f t="shared" si="18"/>
        <v>DNAU2622206|20 FT|DRY|ZONA</v>
      </c>
    </row>
    <row r="373" spans="1:11" x14ac:dyDescent="0.2">
      <c r="A373">
        <v>373</v>
      </c>
      <c r="C373" t="s">
        <v>5</v>
      </c>
      <c r="D373" s="1">
        <v>3280303</v>
      </c>
      <c r="E373" t="s">
        <v>149</v>
      </c>
      <c r="F373" s="2">
        <v>46154</v>
      </c>
      <c r="G373" s="2">
        <v>46231</v>
      </c>
      <c r="I373">
        <f t="shared" si="16"/>
        <v>7</v>
      </c>
      <c r="J373" t="str">
        <f t="shared" si="17"/>
        <v>TGHU3280303|46154|46231</v>
      </c>
      <c r="K373" t="str">
        <f t="shared" si="18"/>
        <v>TGHU3280303|20 FT|DRY|ZONA</v>
      </c>
    </row>
    <row r="374" spans="1:11" x14ac:dyDescent="0.2">
      <c r="A374">
        <v>374</v>
      </c>
      <c r="C374" t="s">
        <v>25</v>
      </c>
      <c r="D374" s="1">
        <v>2359184</v>
      </c>
      <c r="E374" t="s">
        <v>149</v>
      </c>
      <c r="F374" s="2">
        <v>46154</v>
      </c>
      <c r="I374">
        <f t="shared" si="16"/>
        <v>7</v>
      </c>
      <c r="J374" t="str">
        <f t="shared" si="17"/>
        <v>DRYU2359184|46154|</v>
      </c>
      <c r="K374" t="str">
        <f t="shared" si="18"/>
        <v>DRYU2359184|20 FT|DRY|ZONA</v>
      </c>
    </row>
    <row r="375" spans="1:11" x14ac:dyDescent="0.2">
      <c r="A375">
        <v>375</v>
      </c>
      <c r="C375" t="s">
        <v>5</v>
      </c>
      <c r="D375" s="1">
        <v>3090730</v>
      </c>
      <c r="E375" t="s">
        <v>149</v>
      </c>
      <c r="F375" s="2">
        <v>46154</v>
      </c>
      <c r="G375" s="2">
        <v>46251</v>
      </c>
      <c r="I375">
        <f t="shared" si="16"/>
        <v>7</v>
      </c>
      <c r="J375" t="str">
        <f t="shared" si="17"/>
        <v>TGHU3090730|46154|46251</v>
      </c>
      <c r="K375" t="str">
        <f t="shared" si="18"/>
        <v>TGHU3090730|20 FT|DRY|ZONA</v>
      </c>
    </row>
    <row r="376" spans="1:11" x14ac:dyDescent="0.2">
      <c r="A376">
        <v>376</v>
      </c>
      <c r="C376" t="s">
        <v>2</v>
      </c>
      <c r="D376" s="1">
        <v>5841930</v>
      </c>
      <c r="E376" t="s">
        <v>134</v>
      </c>
      <c r="F376" s="2">
        <v>46154</v>
      </c>
      <c r="I376">
        <f t="shared" si="16"/>
        <v>7</v>
      </c>
      <c r="J376" t="str">
        <f t="shared" si="17"/>
        <v>GESU5841930|46154|</v>
      </c>
      <c r="K376" t="str">
        <f t="shared" si="18"/>
        <v>GESU5841930|40 FT|DRY|ZONA</v>
      </c>
    </row>
    <row r="377" spans="1:11" x14ac:dyDescent="0.2">
      <c r="A377">
        <v>377</v>
      </c>
      <c r="C377" t="s">
        <v>112</v>
      </c>
      <c r="D377" s="1">
        <v>3153115</v>
      </c>
      <c r="E377" t="s">
        <v>149</v>
      </c>
      <c r="F377" s="2">
        <v>46154</v>
      </c>
      <c r="I377">
        <f t="shared" si="16"/>
        <v>7</v>
      </c>
      <c r="J377" t="str">
        <f t="shared" si="17"/>
        <v>AMFU3153115|46154|</v>
      </c>
      <c r="K377" t="str">
        <f t="shared" si="18"/>
        <v>AMFU3153115|20 FT|DRY|ZONA</v>
      </c>
    </row>
    <row r="378" spans="1:11" x14ac:dyDescent="0.2">
      <c r="A378">
        <v>378</v>
      </c>
      <c r="C378" t="s">
        <v>113</v>
      </c>
      <c r="D378" s="1">
        <v>2042620</v>
      </c>
      <c r="E378" t="s">
        <v>149</v>
      </c>
      <c r="F378" s="2">
        <v>46154</v>
      </c>
      <c r="I378">
        <f t="shared" si="16"/>
        <v>7</v>
      </c>
      <c r="J378" t="str">
        <f t="shared" si="17"/>
        <v>TCLU2042620|46154|</v>
      </c>
      <c r="K378" t="str">
        <f t="shared" si="18"/>
        <v>TCLU2042620|20 FT|DRY|ZONA</v>
      </c>
    </row>
    <row r="379" spans="1:11" x14ac:dyDescent="0.2">
      <c r="A379">
        <v>379</v>
      </c>
      <c r="C379" t="s">
        <v>11</v>
      </c>
      <c r="D379" s="1">
        <v>2863449</v>
      </c>
      <c r="E379" t="s">
        <v>149</v>
      </c>
      <c r="F379" s="2">
        <v>46154</v>
      </c>
      <c r="G379" s="2">
        <v>46251</v>
      </c>
      <c r="I379">
        <f t="shared" si="16"/>
        <v>7</v>
      </c>
      <c r="J379" t="str">
        <f t="shared" si="17"/>
        <v>TEMU2863449|46154|46251</v>
      </c>
      <c r="K379" t="str">
        <f t="shared" si="18"/>
        <v>TEMU2863449|20 FT|DRY|ZONA</v>
      </c>
    </row>
    <row r="380" spans="1:11" x14ac:dyDescent="0.2">
      <c r="A380">
        <v>380</v>
      </c>
      <c r="C380" t="s">
        <v>3</v>
      </c>
      <c r="D380" s="1">
        <v>2085390</v>
      </c>
      <c r="E380" t="s">
        <v>149</v>
      </c>
      <c r="F380" s="2">
        <v>46154</v>
      </c>
      <c r="I380">
        <f t="shared" si="16"/>
        <v>7</v>
      </c>
      <c r="J380" t="str">
        <f t="shared" si="17"/>
        <v>MSKU2085390|46154|</v>
      </c>
      <c r="K380" t="str">
        <f t="shared" si="18"/>
        <v>MSKU2085390|20 FT|DRY|ZONA</v>
      </c>
    </row>
    <row r="381" spans="1:11" x14ac:dyDescent="0.2">
      <c r="A381">
        <v>381</v>
      </c>
      <c r="C381" t="s">
        <v>2</v>
      </c>
      <c r="D381" s="1">
        <v>5801429</v>
      </c>
      <c r="E381" t="s">
        <v>134</v>
      </c>
      <c r="F381" s="2">
        <v>46155</v>
      </c>
      <c r="I381">
        <f t="shared" si="16"/>
        <v>7</v>
      </c>
      <c r="J381" t="str">
        <f t="shared" si="17"/>
        <v>GESU5801429|46155|</v>
      </c>
      <c r="K381" t="str">
        <f t="shared" si="18"/>
        <v>GESU5801429|40 FT|DRY|ZONA</v>
      </c>
    </row>
    <row r="382" spans="1:11" x14ac:dyDescent="0.2">
      <c r="A382">
        <v>382</v>
      </c>
      <c r="C382" t="s">
        <v>5</v>
      </c>
      <c r="D382" s="1" t="s">
        <v>114</v>
      </c>
      <c r="E382" t="s">
        <v>149</v>
      </c>
      <c r="F382" s="2">
        <v>46155</v>
      </c>
      <c r="I382">
        <f t="shared" si="16"/>
        <v>7</v>
      </c>
      <c r="J382" t="str">
        <f t="shared" si="17"/>
        <v>TGHU0397343|46155|</v>
      </c>
      <c r="K382" t="str">
        <f t="shared" si="18"/>
        <v>TGHU0397343|20 FT|DRY|ZONA</v>
      </c>
    </row>
    <row r="383" spans="1:11" x14ac:dyDescent="0.2">
      <c r="A383">
        <v>383</v>
      </c>
      <c r="C383" t="s">
        <v>13</v>
      </c>
      <c r="D383" s="1">
        <v>5836757</v>
      </c>
      <c r="E383" t="s">
        <v>149</v>
      </c>
      <c r="F383" s="2">
        <v>46155</v>
      </c>
      <c r="G383" s="2">
        <v>46206</v>
      </c>
      <c r="I383">
        <f t="shared" si="16"/>
        <v>7</v>
      </c>
      <c r="J383" t="str">
        <f t="shared" si="17"/>
        <v>CBHU5836757|46155|46206</v>
      </c>
      <c r="K383" t="str">
        <f t="shared" si="18"/>
        <v>CBHU5836757|20 FT|DRY|ZONA</v>
      </c>
    </row>
    <row r="384" spans="1:11" x14ac:dyDescent="0.2">
      <c r="A384">
        <v>384</v>
      </c>
      <c r="C384" t="s">
        <v>115</v>
      </c>
      <c r="D384" s="1">
        <v>2462418</v>
      </c>
      <c r="E384" t="s">
        <v>149</v>
      </c>
      <c r="F384" s="2">
        <v>46155</v>
      </c>
      <c r="G384" s="2">
        <v>46202</v>
      </c>
      <c r="I384">
        <f t="shared" si="16"/>
        <v>7</v>
      </c>
      <c r="J384" t="str">
        <f t="shared" si="17"/>
        <v>MLCU2462418|46155|46202</v>
      </c>
      <c r="K384" t="str">
        <f t="shared" si="18"/>
        <v>MLCU2462418|20 FT|DRY|ZONA</v>
      </c>
    </row>
    <row r="385" spans="1:11" x14ac:dyDescent="0.2">
      <c r="A385">
        <v>385</v>
      </c>
      <c r="C385" t="s">
        <v>58</v>
      </c>
      <c r="D385" s="1">
        <v>3948885</v>
      </c>
      <c r="E385" t="s">
        <v>149</v>
      </c>
      <c r="F385" s="2">
        <v>46155</v>
      </c>
      <c r="G385" s="2">
        <v>46226</v>
      </c>
      <c r="I385">
        <f t="shared" si="16"/>
        <v>7</v>
      </c>
      <c r="J385" t="str">
        <f t="shared" si="17"/>
        <v>EISU3948885|46155|46226</v>
      </c>
      <c r="K385" t="str">
        <f t="shared" si="18"/>
        <v>EISU3948885|20 FT|DRY|ZONA</v>
      </c>
    </row>
    <row r="386" spans="1:11" x14ac:dyDescent="0.2">
      <c r="A386">
        <v>386</v>
      </c>
      <c r="C386" t="s">
        <v>36</v>
      </c>
      <c r="D386" s="1">
        <v>1599110</v>
      </c>
      <c r="E386" t="s">
        <v>149</v>
      </c>
      <c r="F386" s="2">
        <v>46155</v>
      </c>
      <c r="G386" s="2">
        <v>46253</v>
      </c>
      <c r="I386">
        <f t="shared" ref="I386:I448" si="19">LEN(D386)</f>
        <v>7</v>
      </c>
      <c r="J386" t="str">
        <f t="shared" si="17"/>
        <v>CXDU1599110|46155|46253</v>
      </c>
      <c r="K386" t="str">
        <f t="shared" si="18"/>
        <v>CXDU1599110|20 FT|DRY|ZONA</v>
      </c>
    </row>
    <row r="387" spans="1:11" x14ac:dyDescent="0.2">
      <c r="A387">
        <v>387</v>
      </c>
      <c r="C387" t="s">
        <v>10</v>
      </c>
      <c r="D387" s="1">
        <v>1626995</v>
      </c>
      <c r="E387" t="s">
        <v>149</v>
      </c>
      <c r="F387" s="2">
        <v>46155</v>
      </c>
      <c r="G387" s="2">
        <v>46234</v>
      </c>
      <c r="I387">
        <f t="shared" si="19"/>
        <v>7</v>
      </c>
      <c r="J387" t="str">
        <f t="shared" ref="J387:J450" si="20">C387&amp;D387&amp;"|"&amp;F387&amp;"|"&amp;G387</f>
        <v>OOLU1626995|46155|46234</v>
      </c>
      <c r="K387" t="str">
        <f t="shared" si="18"/>
        <v>OOLU1626995|20 FT|DRY|ZONA</v>
      </c>
    </row>
    <row r="388" spans="1:11" x14ac:dyDescent="0.2">
      <c r="A388">
        <v>389</v>
      </c>
      <c r="C388" t="s">
        <v>32</v>
      </c>
      <c r="D388" s="1">
        <v>7800508</v>
      </c>
      <c r="E388" t="s">
        <v>149</v>
      </c>
      <c r="F388" s="2">
        <v>46155</v>
      </c>
      <c r="I388">
        <f t="shared" si="19"/>
        <v>7</v>
      </c>
      <c r="J388" t="str">
        <f t="shared" si="20"/>
        <v>FSCU7800508|46155|</v>
      </c>
      <c r="K388" t="str">
        <f t="shared" si="18"/>
        <v>FSCU7800508|20 FT|DRY|ZONA</v>
      </c>
    </row>
    <row r="389" spans="1:11" x14ac:dyDescent="0.2">
      <c r="A389">
        <v>390</v>
      </c>
      <c r="C389" t="s">
        <v>5</v>
      </c>
      <c r="D389" s="1">
        <v>1717713</v>
      </c>
      <c r="E389" t="s">
        <v>149</v>
      </c>
      <c r="F389" s="2">
        <v>46155</v>
      </c>
      <c r="G389" s="2">
        <v>46251</v>
      </c>
      <c r="I389">
        <f t="shared" si="19"/>
        <v>7</v>
      </c>
      <c r="J389" t="str">
        <f t="shared" si="20"/>
        <v>TGHU1717713|46155|46251</v>
      </c>
      <c r="K389" t="str">
        <f t="shared" si="18"/>
        <v>TGHU1717713|20 FT|DRY|ZONA</v>
      </c>
    </row>
    <row r="390" spans="1:11" x14ac:dyDescent="0.2">
      <c r="A390">
        <v>391</v>
      </c>
      <c r="C390" t="s">
        <v>58</v>
      </c>
      <c r="D390" s="1">
        <v>2158356</v>
      </c>
      <c r="E390" t="s">
        <v>149</v>
      </c>
      <c r="F390" s="2">
        <v>46155</v>
      </c>
      <c r="I390">
        <f t="shared" si="19"/>
        <v>7</v>
      </c>
      <c r="J390" t="str">
        <f t="shared" si="20"/>
        <v>EISU2158356|46155|</v>
      </c>
      <c r="K390" t="str">
        <f t="shared" si="18"/>
        <v>EISU2158356|20 FT|DRY|ZONA</v>
      </c>
    </row>
    <row r="391" spans="1:11" x14ac:dyDescent="0.2">
      <c r="A391">
        <v>392</v>
      </c>
      <c r="B391" t="s">
        <v>109</v>
      </c>
      <c r="C391" t="s">
        <v>11</v>
      </c>
      <c r="D391" s="1" t="s">
        <v>133</v>
      </c>
      <c r="E391" t="s">
        <v>149</v>
      </c>
      <c r="F391" s="2">
        <v>46155</v>
      </c>
      <c r="I391">
        <f t="shared" si="19"/>
        <v>7</v>
      </c>
      <c r="J391" t="str">
        <f t="shared" si="20"/>
        <v>TEMU0281346|46155|</v>
      </c>
      <c r="K391" t="str">
        <f t="shared" si="18"/>
        <v>TEMU0281346|20 FT|DRY|ZONA</v>
      </c>
    </row>
    <row r="392" spans="1:11" x14ac:dyDescent="0.2">
      <c r="A392">
        <v>393</v>
      </c>
      <c r="C392" t="s">
        <v>57</v>
      </c>
      <c r="D392" s="1">
        <v>7953710</v>
      </c>
      <c r="E392" t="s">
        <v>149</v>
      </c>
      <c r="F392" s="2">
        <v>46155</v>
      </c>
      <c r="G392" s="2">
        <v>46205</v>
      </c>
      <c r="I392">
        <f t="shared" si="19"/>
        <v>7</v>
      </c>
      <c r="J392" t="str">
        <f t="shared" si="20"/>
        <v>SCZU7953710|46155|46205</v>
      </c>
      <c r="K392" t="str">
        <f t="shared" si="18"/>
        <v>SCZU7953710|20 FT|DRY|ZONA</v>
      </c>
    </row>
    <row r="393" spans="1:11" x14ac:dyDescent="0.2">
      <c r="A393">
        <v>394</v>
      </c>
      <c r="C393" t="s">
        <v>21</v>
      </c>
      <c r="D393" s="1">
        <v>3062109</v>
      </c>
      <c r="E393" t="s">
        <v>149</v>
      </c>
      <c r="F393" s="2">
        <v>46156</v>
      </c>
      <c r="I393">
        <f t="shared" si="19"/>
        <v>7</v>
      </c>
      <c r="J393" t="str">
        <f t="shared" si="20"/>
        <v>PCIU3062109|46156|</v>
      </c>
      <c r="K393" t="str">
        <f t="shared" si="18"/>
        <v>PCIU3062109|20 FT|DRY|ZONA</v>
      </c>
    </row>
    <row r="394" spans="1:11" x14ac:dyDescent="0.2">
      <c r="A394">
        <v>395</v>
      </c>
      <c r="C394" t="s">
        <v>14</v>
      </c>
      <c r="D394" s="1" t="s">
        <v>116</v>
      </c>
      <c r="E394" t="s">
        <v>149</v>
      </c>
      <c r="F394" s="2">
        <v>46156</v>
      </c>
      <c r="G394" s="2">
        <v>46250</v>
      </c>
      <c r="I394">
        <f t="shared" si="19"/>
        <v>7</v>
      </c>
      <c r="J394" t="str">
        <f t="shared" si="20"/>
        <v>WHLU0273177|46156|46250</v>
      </c>
      <c r="K394" t="str">
        <f t="shared" si="18"/>
        <v>WHLU0273177|20 FT|DRY|ZONA</v>
      </c>
    </row>
    <row r="395" spans="1:11" x14ac:dyDescent="0.2">
      <c r="A395">
        <v>396</v>
      </c>
      <c r="C395" t="s">
        <v>10</v>
      </c>
      <c r="D395" s="1">
        <v>1531987</v>
      </c>
      <c r="E395" t="s">
        <v>149</v>
      </c>
      <c r="F395" s="2">
        <v>46156</v>
      </c>
      <c r="G395" s="2">
        <v>46213</v>
      </c>
      <c r="I395">
        <f t="shared" si="19"/>
        <v>7</v>
      </c>
      <c r="J395" t="str">
        <f t="shared" si="20"/>
        <v>OOLU1531987|46156|46213</v>
      </c>
      <c r="K395" t="str">
        <f t="shared" si="18"/>
        <v>OOLU1531987|20 FT|DRY|ZONA</v>
      </c>
    </row>
    <row r="396" spans="1:11" x14ac:dyDescent="0.2">
      <c r="A396">
        <v>397</v>
      </c>
      <c r="C396" t="s">
        <v>32</v>
      </c>
      <c r="D396" s="1">
        <v>3188248</v>
      </c>
      <c r="E396" t="s">
        <v>149</v>
      </c>
      <c r="F396" s="2">
        <v>46155</v>
      </c>
      <c r="I396">
        <f t="shared" si="19"/>
        <v>7</v>
      </c>
      <c r="J396" t="str">
        <f t="shared" si="20"/>
        <v>FSCU3188248|46155|</v>
      </c>
      <c r="K396" t="str">
        <f t="shared" ref="K396:K459" si="21">C396&amp;D396&amp;"|"&amp;E396&amp;"|"&amp;"DRY"&amp;"|"&amp;"ZONA"</f>
        <v>FSCU3188248|20 FT|DRY|ZONA</v>
      </c>
    </row>
    <row r="397" spans="1:11" x14ac:dyDescent="0.2">
      <c r="A397">
        <v>398</v>
      </c>
      <c r="C397" t="s">
        <v>62</v>
      </c>
      <c r="D397" s="1">
        <v>8329484</v>
      </c>
      <c r="E397" t="s">
        <v>134</v>
      </c>
      <c r="F397" s="2">
        <v>46155</v>
      </c>
      <c r="I397">
        <f t="shared" si="19"/>
        <v>7</v>
      </c>
      <c r="J397" t="str">
        <f t="shared" si="20"/>
        <v>CLHU8329484|46155|</v>
      </c>
      <c r="K397" t="str">
        <f t="shared" si="21"/>
        <v>CLHU8329484|40 FT|DRY|ZONA</v>
      </c>
    </row>
    <row r="398" spans="1:11" x14ac:dyDescent="0.2">
      <c r="A398">
        <v>399</v>
      </c>
      <c r="C398" t="s">
        <v>117</v>
      </c>
      <c r="D398" s="1">
        <v>1254647</v>
      </c>
      <c r="E398" t="s">
        <v>149</v>
      </c>
      <c r="F398" s="2">
        <v>46155</v>
      </c>
      <c r="G398" s="2">
        <v>46224</v>
      </c>
      <c r="I398">
        <f t="shared" si="19"/>
        <v>7</v>
      </c>
      <c r="J398" t="str">
        <f t="shared" si="20"/>
        <v>ZIMU1254647|46155|46224</v>
      </c>
      <c r="K398" t="str">
        <f t="shared" si="21"/>
        <v>ZIMU1254647|20 FT|DRY|ZONA</v>
      </c>
    </row>
    <row r="399" spans="1:11" x14ac:dyDescent="0.2">
      <c r="A399">
        <v>400</v>
      </c>
      <c r="C399" t="s">
        <v>5</v>
      </c>
      <c r="D399" s="1" t="s">
        <v>118</v>
      </c>
      <c r="E399" t="s">
        <v>149</v>
      </c>
      <c r="F399" s="2">
        <v>46155</v>
      </c>
      <c r="G399" s="2">
        <v>46241</v>
      </c>
      <c r="I399">
        <f t="shared" si="19"/>
        <v>7</v>
      </c>
      <c r="J399" t="str">
        <f t="shared" si="20"/>
        <v>TGHU0466803|46155|46241</v>
      </c>
      <c r="K399" t="str">
        <f t="shared" si="21"/>
        <v>TGHU0466803|20 FT|DRY|ZONA</v>
      </c>
    </row>
    <row r="400" spans="1:11" x14ac:dyDescent="0.2">
      <c r="A400">
        <v>401</v>
      </c>
      <c r="C400" t="s">
        <v>3</v>
      </c>
      <c r="D400" s="1">
        <v>2316009</v>
      </c>
      <c r="E400" t="s">
        <v>149</v>
      </c>
      <c r="F400" s="2">
        <v>46155</v>
      </c>
      <c r="G400" s="2">
        <v>46242</v>
      </c>
      <c r="I400">
        <f t="shared" si="19"/>
        <v>7</v>
      </c>
      <c r="J400" t="str">
        <f t="shared" si="20"/>
        <v>MSKU2316009|46155|46242</v>
      </c>
      <c r="K400" t="str">
        <f t="shared" si="21"/>
        <v>MSKU2316009|20 FT|DRY|ZONA</v>
      </c>
    </row>
    <row r="401" spans="1:11" x14ac:dyDescent="0.2">
      <c r="A401">
        <v>402</v>
      </c>
      <c r="C401" t="s">
        <v>20</v>
      </c>
      <c r="D401" s="1">
        <v>3012705</v>
      </c>
      <c r="E401" t="s">
        <v>149</v>
      </c>
      <c r="F401" s="2">
        <v>46155</v>
      </c>
      <c r="G401" s="2">
        <v>46206</v>
      </c>
      <c r="I401">
        <f t="shared" si="19"/>
        <v>7</v>
      </c>
      <c r="J401" t="str">
        <f t="shared" si="20"/>
        <v>GLDU3012705|46155|46206</v>
      </c>
      <c r="K401" t="str">
        <f t="shared" si="21"/>
        <v>GLDU3012705|20 FT|DRY|ZONA</v>
      </c>
    </row>
    <row r="402" spans="1:11" x14ac:dyDescent="0.2">
      <c r="A402">
        <v>403</v>
      </c>
      <c r="C402" t="s">
        <v>96</v>
      </c>
      <c r="D402" s="1">
        <v>6532450</v>
      </c>
      <c r="E402" t="s">
        <v>134</v>
      </c>
      <c r="F402" s="2">
        <v>46155</v>
      </c>
      <c r="I402">
        <f t="shared" si="19"/>
        <v>7</v>
      </c>
      <c r="J402" t="str">
        <f t="shared" si="20"/>
        <v>HDMU6532450|46155|</v>
      </c>
      <c r="K402" t="str">
        <f t="shared" si="21"/>
        <v>HDMU6532450|40 FT|DRY|ZONA</v>
      </c>
    </row>
    <row r="403" spans="1:11" x14ac:dyDescent="0.2">
      <c r="A403">
        <v>404</v>
      </c>
      <c r="C403" t="s">
        <v>11</v>
      </c>
      <c r="D403" s="1">
        <v>2705422</v>
      </c>
      <c r="E403" t="s">
        <v>149</v>
      </c>
      <c r="F403" s="2">
        <v>46156</v>
      </c>
      <c r="I403">
        <f t="shared" si="19"/>
        <v>7</v>
      </c>
      <c r="J403" t="str">
        <f t="shared" si="20"/>
        <v>TEMU2705422|46156|</v>
      </c>
      <c r="K403" t="str">
        <f t="shared" si="21"/>
        <v>TEMU2705422|20 FT|DRY|ZONA</v>
      </c>
    </row>
    <row r="404" spans="1:11" x14ac:dyDescent="0.2">
      <c r="A404">
        <v>405</v>
      </c>
      <c r="C404" t="s">
        <v>6</v>
      </c>
      <c r="D404" s="1">
        <v>2201580</v>
      </c>
      <c r="E404" t="s">
        <v>149</v>
      </c>
      <c r="F404" s="2">
        <v>46156</v>
      </c>
      <c r="G404" s="2">
        <v>46225</v>
      </c>
      <c r="I404">
        <f t="shared" si="19"/>
        <v>7</v>
      </c>
      <c r="J404" t="str">
        <f t="shared" si="20"/>
        <v>UESU2201580|46156|46225</v>
      </c>
      <c r="K404" t="str">
        <f t="shared" si="21"/>
        <v>UESU2201580|20 FT|DRY|ZONA</v>
      </c>
    </row>
    <row r="405" spans="1:11" x14ac:dyDescent="0.2">
      <c r="A405">
        <v>406</v>
      </c>
      <c r="C405" t="s">
        <v>2</v>
      </c>
      <c r="D405" s="1">
        <v>3057370</v>
      </c>
      <c r="E405" t="s">
        <v>149</v>
      </c>
      <c r="F405" s="2">
        <v>46156</v>
      </c>
      <c r="G405" s="2">
        <v>46243</v>
      </c>
      <c r="I405">
        <f t="shared" si="19"/>
        <v>7</v>
      </c>
      <c r="J405" t="str">
        <f t="shared" si="20"/>
        <v>GESU3057370|46156|46243</v>
      </c>
      <c r="K405" t="str">
        <f t="shared" si="21"/>
        <v>GESU3057370|20 FT|DRY|ZONA</v>
      </c>
    </row>
    <row r="406" spans="1:11" x14ac:dyDescent="0.2">
      <c r="A406">
        <v>407</v>
      </c>
      <c r="C406" t="s">
        <v>3</v>
      </c>
      <c r="D406" s="1">
        <v>3438911</v>
      </c>
      <c r="E406" t="s">
        <v>149</v>
      </c>
      <c r="F406" s="2">
        <v>46156</v>
      </c>
      <c r="G406" s="2">
        <v>46241</v>
      </c>
      <c r="I406">
        <f t="shared" si="19"/>
        <v>7</v>
      </c>
      <c r="J406" t="str">
        <f t="shared" si="20"/>
        <v>MSKU3438911|46156|46241</v>
      </c>
      <c r="K406" t="str">
        <f t="shared" si="21"/>
        <v>MSKU3438911|20 FT|DRY|ZONA</v>
      </c>
    </row>
    <row r="407" spans="1:11" x14ac:dyDescent="0.2">
      <c r="A407">
        <v>408</v>
      </c>
      <c r="C407" t="s">
        <v>9</v>
      </c>
      <c r="D407" s="1">
        <v>3500360</v>
      </c>
      <c r="E407" t="s">
        <v>149</v>
      </c>
      <c r="F407" s="2">
        <v>46156</v>
      </c>
      <c r="G407" s="2">
        <v>46236</v>
      </c>
      <c r="I407">
        <f t="shared" si="19"/>
        <v>7</v>
      </c>
      <c r="J407" t="str">
        <f t="shared" si="20"/>
        <v>FCIU3500360|46156|46236</v>
      </c>
      <c r="K407" t="str">
        <f t="shared" si="21"/>
        <v>FCIU3500360|20 FT|DRY|ZONA</v>
      </c>
    </row>
    <row r="408" spans="1:11" x14ac:dyDescent="0.2">
      <c r="A408">
        <v>409</v>
      </c>
      <c r="C408" t="s">
        <v>32</v>
      </c>
      <c r="D408" s="1">
        <v>7399777</v>
      </c>
      <c r="E408" t="s">
        <v>149</v>
      </c>
      <c r="F408" s="2">
        <v>46156</v>
      </c>
      <c r="G408" s="2">
        <v>46156</v>
      </c>
      <c r="I408">
        <f t="shared" si="19"/>
        <v>7</v>
      </c>
      <c r="J408" t="str">
        <f t="shared" si="20"/>
        <v>FSCU7399777|46156|46156</v>
      </c>
      <c r="K408" t="str">
        <f t="shared" si="21"/>
        <v>FSCU7399777|20 FT|DRY|ZONA</v>
      </c>
    </row>
    <row r="409" spans="1:11" x14ac:dyDescent="0.2">
      <c r="A409">
        <v>410</v>
      </c>
      <c r="C409" t="s">
        <v>11</v>
      </c>
      <c r="D409" s="1">
        <v>2248820</v>
      </c>
      <c r="E409" t="s">
        <v>149</v>
      </c>
      <c r="F409" s="2">
        <v>46156</v>
      </c>
      <c r="I409">
        <f t="shared" si="19"/>
        <v>7</v>
      </c>
      <c r="J409" t="str">
        <f t="shared" si="20"/>
        <v>TEMU2248820|46156|</v>
      </c>
      <c r="K409" t="str">
        <f t="shared" si="21"/>
        <v>TEMU2248820|20 FT|DRY|ZONA</v>
      </c>
    </row>
    <row r="410" spans="1:11" x14ac:dyDescent="0.2">
      <c r="A410">
        <v>411</v>
      </c>
      <c r="C410" t="s">
        <v>33</v>
      </c>
      <c r="D410" s="1">
        <v>2744385</v>
      </c>
      <c r="E410" t="s">
        <v>149</v>
      </c>
      <c r="F410" s="2">
        <v>46156</v>
      </c>
      <c r="G410" s="2">
        <v>46230</v>
      </c>
      <c r="I410">
        <f t="shared" si="19"/>
        <v>7</v>
      </c>
      <c r="J410" t="str">
        <f t="shared" si="20"/>
        <v>CAIU2744385|46156|46230</v>
      </c>
      <c r="K410" t="str">
        <f t="shared" si="21"/>
        <v>CAIU2744385|20 FT|DRY|ZONA</v>
      </c>
    </row>
    <row r="411" spans="1:11" x14ac:dyDescent="0.2">
      <c r="A411">
        <v>412</v>
      </c>
      <c r="C411" t="s">
        <v>31</v>
      </c>
      <c r="D411" s="1">
        <v>3588543</v>
      </c>
      <c r="E411" t="s">
        <v>149</v>
      </c>
      <c r="F411" s="2">
        <v>46156</v>
      </c>
      <c r="G411" s="2">
        <v>46264</v>
      </c>
      <c r="I411">
        <f t="shared" si="19"/>
        <v>7</v>
      </c>
      <c r="J411" t="str">
        <f t="shared" si="20"/>
        <v>CCLU3588543|46156|46264</v>
      </c>
      <c r="K411" t="str">
        <f t="shared" si="21"/>
        <v>CCLU3588543|20 FT|DRY|ZONA</v>
      </c>
    </row>
    <row r="412" spans="1:11" x14ac:dyDescent="0.2">
      <c r="A412">
        <v>413</v>
      </c>
      <c r="C412" t="s">
        <v>21</v>
      </c>
      <c r="D412" s="1">
        <v>8294513</v>
      </c>
      <c r="E412" t="s">
        <v>134</v>
      </c>
      <c r="F412" s="2">
        <v>46157</v>
      </c>
      <c r="I412">
        <f t="shared" si="19"/>
        <v>7</v>
      </c>
      <c r="J412" t="str">
        <f t="shared" si="20"/>
        <v>PCIU8294513|46157|</v>
      </c>
      <c r="K412" t="str">
        <f t="shared" si="21"/>
        <v>PCIU8294513|40 FT|DRY|ZONA</v>
      </c>
    </row>
    <row r="413" spans="1:11" x14ac:dyDescent="0.2">
      <c r="A413">
        <v>414</v>
      </c>
      <c r="C413" t="s">
        <v>119</v>
      </c>
      <c r="D413" s="1">
        <v>2933779</v>
      </c>
      <c r="E413" t="s">
        <v>149</v>
      </c>
      <c r="F413" s="2">
        <v>46157</v>
      </c>
      <c r="I413">
        <f t="shared" si="19"/>
        <v>7</v>
      </c>
      <c r="J413" t="str">
        <f t="shared" si="20"/>
        <v>AXIU2933779|46157|</v>
      </c>
      <c r="K413" t="str">
        <f t="shared" si="21"/>
        <v>AXIU2933779|20 FT|DRY|ZONA</v>
      </c>
    </row>
    <row r="414" spans="1:11" x14ac:dyDescent="0.2">
      <c r="A414">
        <v>415</v>
      </c>
      <c r="C414" t="s">
        <v>120</v>
      </c>
      <c r="D414" s="1">
        <v>2019602</v>
      </c>
      <c r="E414" t="s">
        <v>149</v>
      </c>
      <c r="F414" s="2">
        <v>46157</v>
      </c>
      <c r="G414" s="2">
        <v>46231</v>
      </c>
      <c r="I414">
        <f t="shared" si="19"/>
        <v>7</v>
      </c>
      <c r="J414" t="str">
        <f t="shared" si="20"/>
        <v>ILSU2019602|46157|46231</v>
      </c>
      <c r="K414" t="str">
        <f t="shared" si="21"/>
        <v>ILSU2019602|20 FT|DRY|ZONA</v>
      </c>
    </row>
    <row r="415" spans="1:11" x14ac:dyDescent="0.2">
      <c r="A415">
        <v>416</v>
      </c>
      <c r="C415" t="s">
        <v>75</v>
      </c>
      <c r="D415" s="1">
        <v>1019685</v>
      </c>
      <c r="E415" t="s">
        <v>149</v>
      </c>
      <c r="F415" s="2">
        <v>46157</v>
      </c>
      <c r="I415">
        <f t="shared" si="19"/>
        <v>7</v>
      </c>
      <c r="J415" t="str">
        <f t="shared" si="20"/>
        <v>CMAU1019685|46157|</v>
      </c>
      <c r="K415" t="str">
        <f t="shared" si="21"/>
        <v>CMAU1019685|20 FT|DRY|ZONA</v>
      </c>
    </row>
    <row r="416" spans="1:11" x14ac:dyDescent="0.2">
      <c r="A416">
        <v>417</v>
      </c>
      <c r="C416" t="s">
        <v>29</v>
      </c>
      <c r="D416" s="1">
        <v>1925472</v>
      </c>
      <c r="E416" t="s">
        <v>149</v>
      </c>
      <c r="F416" s="2">
        <v>46157</v>
      </c>
      <c r="G416" s="2">
        <v>46220</v>
      </c>
      <c r="I416">
        <f t="shared" si="19"/>
        <v>7</v>
      </c>
      <c r="J416" t="str">
        <f t="shared" si="20"/>
        <v>CRXU1925472|46157|46220</v>
      </c>
      <c r="K416" t="str">
        <f t="shared" si="21"/>
        <v>CRXU1925472|20 FT|DRY|ZONA</v>
      </c>
    </row>
    <row r="417" spans="1:11" x14ac:dyDescent="0.2">
      <c r="A417">
        <v>418</v>
      </c>
      <c r="C417" t="s">
        <v>36</v>
      </c>
      <c r="D417" s="1">
        <v>1227514</v>
      </c>
      <c r="E417" t="s">
        <v>149</v>
      </c>
      <c r="F417" s="2">
        <v>46157</v>
      </c>
      <c r="G417" s="2">
        <v>46245</v>
      </c>
      <c r="I417">
        <f t="shared" si="19"/>
        <v>7</v>
      </c>
      <c r="J417" t="str">
        <f t="shared" si="20"/>
        <v>CXDU1227514|46157|46245</v>
      </c>
      <c r="K417" t="str">
        <f t="shared" si="21"/>
        <v>CXDU1227514|20 FT|DRY|ZONA</v>
      </c>
    </row>
    <row r="418" spans="1:11" x14ac:dyDescent="0.2">
      <c r="A418">
        <v>419</v>
      </c>
      <c r="C418" t="s">
        <v>65</v>
      </c>
      <c r="D418" s="1">
        <v>1828517</v>
      </c>
      <c r="E418" t="s">
        <v>149</v>
      </c>
      <c r="F418" s="2">
        <v>46157</v>
      </c>
      <c r="G418" s="2">
        <v>46237</v>
      </c>
      <c r="I418">
        <f t="shared" si="19"/>
        <v>7</v>
      </c>
      <c r="J418" t="str">
        <f t="shared" si="20"/>
        <v>CPSU1828517|46157|46237</v>
      </c>
      <c r="K418" t="str">
        <f t="shared" si="21"/>
        <v>CPSU1828517|20 FT|DRY|ZONA</v>
      </c>
    </row>
    <row r="419" spans="1:11" x14ac:dyDescent="0.2">
      <c r="A419">
        <v>420</v>
      </c>
      <c r="C419" t="s">
        <v>96</v>
      </c>
      <c r="D419" s="1">
        <v>6866817</v>
      </c>
      <c r="E419" t="s">
        <v>134</v>
      </c>
      <c r="F419" s="2">
        <v>46157</v>
      </c>
      <c r="I419">
        <f t="shared" si="19"/>
        <v>7</v>
      </c>
      <c r="J419" t="str">
        <f t="shared" si="20"/>
        <v>HDMU6866817|46157|</v>
      </c>
      <c r="K419" t="str">
        <f t="shared" si="21"/>
        <v>HDMU6866817|40 FT|DRY|ZONA</v>
      </c>
    </row>
    <row r="420" spans="1:11" x14ac:dyDescent="0.2">
      <c r="A420">
        <v>421</v>
      </c>
      <c r="C420" t="s">
        <v>30</v>
      </c>
      <c r="D420" s="1">
        <v>1391880</v>
      </c>
      <c r="E420" t="s">
        <v>149</v>
      </c>
      <c r="F420" s="2">
        <v>46157</v>
      </c>
      <c r="I420">
        <f t="shared" si="19"/>
        <v>7</v>
      </c>
      <c r="J420" t="str">
        <f t="shared" si="20"/>
        <v>CSLU1391880|46157|</v>
      </c>
      <c r="K420" t="str">
        <f t="shared" si="21"/>
        <v>CSLU1391880|20 FT|DRY|ZONA</v>
      </c>
    </row>
    <row r="421" spans="1:11" x14ac:dyDescent="0.2">
      <c r="A421">
        <v>422</v>
      </c>
      <c r="C421" t="s">
        <v>89</v>
      </c>
      <c r="D421" s="1" t="s">
        <v>121</v>
      </c>
      <c r="E421" t="s">
        <v>149</v>
      </c>
      <c r="F421" s="2">
        <v>46157</v>
      </c>
      <c r="I421">
        <f t="shared" si="19"/>
        <v>7</v>
      </c>
      <c r="J421" t="str">
        <f t="shared" si="20"/>
        <v>PONU0848960|46157|</v>
      </c>
      <c r="K421" t="str">
        <f t="shared" si="21"/>
        <v>PONU0848960|20 FT|DRY|ZONA</v>
      </c>
    </row>
    <row r="422" spans="1:11" x14ac:dyDescent="0.2">
      <c r="A422">
        <v>423</v>
      </c>
      <c r="C422" t="s">
        <v>2</v>
      </c>
      <c r="D422" s="1">
        <v>2928512</v>
      </c>
      <c r="E422" t="s">
        <v>149</v>
      </c>
      <c r="F422" s="2">
        <v>46157</v>
      </c>
      <c r="I422">
        <f t="shared" si="19"/>
        <v>7</v>
      </c>
      <c r="J422" t="str">
        <f t="shared" si="20"/>
        <v>GESU2928512|46157|</v>
      </c>
      <c r="K422" t="str">
        <f t="shared" si="21"/>
        <v>GESU2928512|20 FT|DRY|ZONA</v>
      </c>
    </row>
    <row r="423" spans="1:11" x14ac:dyDescent="0.2">
      <c r="A423">
        <v>424</v>
      </c>
      <c r="C423" t="s">
        <v>11</v>
      </c>
      <c r="D423" s="1">
        <v>2346209</v>
      </c>
      <c r="E423" t="s">
        <v>149</v>
      </c>
      <c r="F423" s="2">
        <v>46157</v>
      </c>
      <c r="G423" s="2">
        <v>46243</v>
      </c>
      <c r="I423">
        <f t="shared" si="19"/>
        <v>7</v>
      </c>
      <c r="J423" t="str">
        <f t="shared" si="20"/>
        <v>TEMU2346209|46157|46243</v>
      </c>
      <c r="K423" t="str">
        <f t="shared" si="21"/>
        <v>TEMU2346209|20 FT|DRY|ZONA</v>
      </c>
    </row>
    <row r="424" spans="1:11" x14ac:dyDescent="0.2">
      <c r="A424">
        <v>425</v>
      </c>
      <c r="C424" t="s">
        <v>26</v>
      </c>
      <c r="D424" s="1">
        <v>1329788</v>
      </c>
      <c r="E424" t="s">
        <v>149</v>
      </c>
      <c r="F424" s="2">
        <v>46157</v>
      </c>
      <c r="I424">
        <f t="shared" si="19"/>
        <v>7</v>
      </c>
      <c r="J424" t="str">
        <f t="shared" si="20"/>
        <v>GATU1329788|46157|</v>
      </c>
      <c r="K424" t="str">
        <f t="shared" si="21"/>
        <v>GATU1329788|20 FT|DRY|ZONA</v>
      </c>
    </row>
    <row r="425" spans="1:11" x14ac:dyDescent="0.2">
      <c r="A425">
        <v>426</v>
      </c>
      <c r="C425" t="s">
        <v>41</v>
      </c>
      <c r="D425" s="1">
        <v>2422100</v>
      </c>
      <c r="E425" t="s">
        <v>149</v>
      </c>
      <c r="F425" s="2">
        <v>46158</v>
      </c>
      <c r="G425" s="2">
        <v>46241</v>
      </c>
      <c r="I425">
        <f t="shared" si="19"/>
        <v>7</v>
      </c>
      <c r="J425" t="str">
        <f t="shared" si="20"/>
        <v>BMOU2422100|46158|46241</v>
      </c>
      <c r="K425" t="str">
        <f t="shared" si="21"/>
        <v>BMOU2422100|20 FT|DRY|ZONA</v>
      </c>
    </row>
    <row r="426" spans="1:11" x14ac:dyDescent="0.2">
      <c r="A426">
        <v>427</v>
      </c>
      <c r="C426" t="s">
        <v>58</v>
      </c>
      <c r="D426" s="1">
        <v>2127714</v>
      </c>
      <c r="E426" t="s">
        <v>149</v>
      </c>
      <c r="F426" s="2">
        <v>46158</v>
      </c>
      <c r="I426">
        <f t="shared" si="19"/>
        <v>7</v>
      </c>
      <c r="J426" t="str">
        <f t="shared" si="20"/>
        <v>EISU2127714|46158|</v>
      </c>
      <c r="K426" t="str">
        <f t="shared" si="21"/>
        <v>EISU2127714|20 FT|DRY|ZONA</v>
      </c>
    </row>
    <row r="427" spans="1:11" x14ac:dyDescent="0.2">
      <c r="A427">
        <v>428</v>
      </c>
      <c r="C427" t="s">
        <v>2</v>
      </c>
      <c r="D427" s="1">
        <v>2957357</v>
      </c>
      <c r="E427" t="s">
        <v>149</v>
      </c>
      <c r="F427" s="2">
        <v>46158</v>
      </c>
      <c r="I427">
        <f t="shared" si="19"/>
        <v>7</v>
      </c>
      <c r="J427" t="str">
        <f t="shared" si="20"/>
        <v>GESU2957357|46158|</v>
      </c>
      <c r="K427" t="str">
        <f t="shared" si="21"/>
        <v>GESU2957357|20 FT|DRY|ZONA</v>
      </c>
    </row>
    <row r="428" spans="1:11" x14ac:dyDescent="0.2">
      <c r="A428">
        <v>429</v>
      </c>
      <c r="C428" t="s">
        <v>28</v>
      </c>
      <c r="D428" s="1">
        <v>8487209</v>
      </c>
      <c r="E428" t="s">
        <v>149</v>
      </c>
      <c r="F428" s="2">
        <v>46158</v>
      </c>
      <c r="G428" s="2">
        <v>46242</v>
      </c>
      <c r="I428">
        <f t="shared" si="19"/>
        <v>7</v>
      </c>
      <c r="J428" t="str">
        <f t="shared" si="20"/>
        <v>FORU8487209|46158|46242</v>
      </c>
      <c r="K428" t="str">
        <f t="shared" si="21"/>
        <v>FORU8487209|20 FT|DRY|ZONA</v>
      </c>
    </row>
    <row r="429" spans="1:11" x14ac:dyDescent="0.2">
      <c r="A429">
        <v>430</v>
      </c>
      <c r="C429" t="s">
        <v>66</v>
      </c>
      <c r="D429" s="1">
        <v>7720837</v>
      </c>
      <c r="E429" t="s">
        <v>134</v>
      </c>
      <c r="F429" s="2">
        <v>46158</v>
      </c>
      <c r="I429">
        <f t="shared" si="19"/>
        <v>7</v>
      </c>
      <c r="J429" t="str">
        <f t="shared" si="20"/>
        <v>WSCU7720837|46158|</v>
      </c>
      <c r="K429" t="str">
        <f t="shared" si="21"/>
        <v>WSCU7720837|40 FT|DRY|ZONA</v>
      </c>
    </row>
    <row r="430" spans="1:11" x14ac:dyDescent="0.2">
      <c r="A430">
        <v>431</v>
      </c>
      <c r="C430" t="s">
        <v>122</v>
      </c>
      <c r="D430" s="1">
        <v>2206221</v>
      </c>
      <c r="E430" t="s">
        <v>149</v>
      </c>
      <c r="F430" s="2">
        <v>46157</v>
      </c>
      <c r="G430" s="2">
        <v>46225</v>
      </c>
      <c r="I430">
        <f t="shared" si="19"/>
        <v>7</v>
      </c>
      <c r="J430" t="str">
        <f t="shared" si="20"/>
        <v>MOMU2206221|46157|46225</v>
      </c>
      <c r="K430" t="str">
        <f t="shared" si="21"/>
        <v>MOMU2206221|20 FT|DRY|ZONA</v>
      </c>
    </row>
    <row r="431" spans="1:11" x14ac:dyDescent="0.2">
      <c r="A431">
        <v>432</v>
      </c>
      <c r="C431" t="s">
        <v>2</v>
      </c>
      <c r="D431" s="1">
        <v>3317035</v>
      </c>
      <c r="E431" t="s">
        <v>149</v>
      </c>
      <c r="F431" s="2">
        <v>46157</v>
      </c>
      <c r="G431" s="2">
        <v>46241</v>
      </c>
      <c r="I431">
        <f t="shared" si="19"/>
        <v>7</v>
      </c>
      <c r="J431" t="str">
        <f t="shared" si="20"/>
        <v>GESU3317035|46157|46241</v>
      </c>
      <c r="K431" t="str">
        <f t="shared" si="21"/>
        <v>GESU3317035|20 FT|DRY|ZONA</v>
      </c>
    </row>
    <row r="432" spans="1:11" x14ac:dyDescent="0.2">
      <c r="A432">
        <v>433</v>
      </c>
      <c r="C432" t="s">
        <v>30</v>
      </c>
      <c r="D432" s="1">
        <v>1034060</v>
      </c>
      <c r="E432" t="s">
        <v>149</v>
      </c>
      <c r="F432" s="2">
        <v>46157</v>
      </c>
      <c r="I432">
        <f t="shared" si="19"/>
        <v>7</v>
      </c>
      <c r="J432" t="str">
        <f t="shared" si="20"/>
        <v>CSLU1034060|46157|</v>
      </c>
      <c r="K432" t="str">
        <f t="shared" si="21"/>
        <v>CSLU1034060|20 FT|DRY|ZONA</v>
      </c>
    </row>
    <row r="433" spans="1:11" x14ac:dyDescent="0.2">
      <c r="A433">
        <v>434</v>
      </c>
      <c r="C433" t="s">
        <v>30</v>
      </c>
      <c r="D433" s="1">
        <v>1244909</v>
      </c>
      <c r="E433" t="s">
        <v>149</v>
      </c>
      <c r="F433" s="2">
        <v>46157</v>
      </c>
      <c r="I433">
        <f t="shared" si="19"/>
        <v>7</v>
      </c>
      <c r="J433" t="str">
        <f t="shared" si="20"/>
        <v>CSLU1244909|46157|</v>
      </c>
      <c r="K433" t="str">
        <f t="shared" si="21"/>
        <v>CSLU1244909|20 FT|DRY|ZONA</v>
      </c>
    </row>
    <row r="434" spans="1:11" x14ac:dyDescent="0.2">
      <c r="A434">
        <v>435</v>
      </c>
      <c r="C434" t="s">
        <v>34</v>
      </c>
      <c r="D434" s="1">
        <v>1019925</v>
      </c>
      <c r="E434" t="s">
        <v>149</v>
      </c>
      <c r="F434" s="2">
        <v>46158</v>
      </c>
      <c r="I434">
        <f t="shared" si="19"/>
        <v>7</v>
      </c>
      <c r="J434" t="str">
        <f t="shared" si="20"/>
        <v>SEGU1019925|46158|</v>
      </c>
      <c r="K434" t="str">
        <f t="shared" si="21"/>
        <v>SEGU1019925|20 FT|DRY|ZONA</v>
      </c>
    </row>
    <row r="435" spans="1:11" x14ac:dyDescent="0.2">
      <c r="A435">
        <v>436</v>
      </c>
      <c r="C435" t="s">
        <v>5</v>
      </c>
      <c r="D435" s="1">
        <v>2740169</v>
      </c>
      <c r="E435" t="s">
        <v>149</v>
      </c>
      <c r="F435" s="2">
        <v>46158</v>
      </c>
      <c r="G435" s="2">
        <v>46225</v>
      </c>
      <c r="I435">
        <f t="shared" si="19"/>
        <v>7</v>
      </c>
      <c r="J435" t="str">
        <f t="shared" si="20"/>
        <v>TGHU2740169|46158|46225</v>
      </c>
      <c r="K435" t="str">
        <f t="shared" si="21"/>
        <v>TGHU2740169|20 FT|DRY|ZONA</v>
      </c>
    </row>
    <row r="436" spans="1:11" x14ac:dyDescent="0.2">
      <c r="A436">
        <v>437</v>
      </c>
      <c r="C436" t="s">
        <v>25</v>
      </c>
      <c r="D436" s="1">
        <v>2211480</v>
      </c>
      <c r="E436" t="s">
        <v>149</v>
      </c>
      <c r="F436" s="2">
        <v>46158</v>
      </c>
      <c r="I436">
        <f t="shared" si="19"/>
        <v>7</v>
      </c>
      <c r="J436" t="str">
        <f t="shared" si="20"/>
        <v>DRYU2211480|46158|</v>
      </c>
      <c r="K436" t="str">
        <f t="shared" si="21"/>
        <v>DRYU2211480|20 FT|DRY|ZONA</v>
      </c>
    </row>
    <row r="437" spans="1:11" x14ac:dyDescent="0.2">
      <c r="A437">
        <v>438</v>
      </c>
      <c r="C437" t="s">
        <v>34</v>
      </c>
      <c r="D437" s="1">
        <v>1410190</v>
      </c>
      <c r="E437" t="s">
        <v>149</v>
      </c>
      <c r="F437" s="2">
        <v>46158</v>
      </c>
      <c r="G437" s="2">
        <v>46251</v>
      </c>
      <c r="I437">
        <f t="shared" si="19"/>
        <v>7</v>
      </c>
      <c r="J437" t="str">
        <f t="shared" si="20"/>
        <v>SEGU1410190|46158|46251</v>
      </c>
      <c r="K437" t="str">
        <f t="shared" si="21"/>
        <v>SEGU1410190|20 FT|DRY|ZONA</v>
      </c>
    </row>
    <row r="438" spans="1:11" x14ac:dyDescent="0.2">
      <c r="A438">
        <v>439</v>
      </c>
      <c r="C438" t="s">
        <v>5</v>
      </c>
      <c r="D438" s="1">
        <v>1845843</v>
      </c>
      <c r="E438" t="s">
        <v>149</v>
      </c>
      <c r="F438" s="2">
        <v>46158</v>
      </c>
      <c r="I438">
        <f t="shared" si="19"/>
        <v>7</v>
      </c>
      <c r="J438" t="str">
        <f t="shared" si="20"/>
        <v>TGHU1845843|46158|</v>
      </c>
      <c r="K438" t="str">
        <f t="shared" si="21"/>
        <v>TGHU1845843|20 FT|DRY|ZONA</v>
      </c>
    </row>
    <row r="439" spans="1:11" x14ac:dyDescent="0.2">
      <c r="A439">
        <v>440</v>
      </c>
      <c r="C439" t="s">
        <v>41</v>
      </c>
      <c r="D439" s="1">
        <v>2419699</v>
      </c>
      <c r="E439" t="s">
        <v>149</v>
      </c>
      <c r="F439" s="2">
        <v>46158</v>
      </c>
      <c r="G439" s="2">
        <v>46240</v>
      </c>
      <c r="I439">
        <f t="shared" si="19"/>
        <v>7</v>
      </c>
      <c r="J439" t="str">
        <f t="shared" si="20"/>
        <v>BMOU2419699|46158|46240</v>
      </c>
      <c r="K439" t="str">
        <f t="shared" si="21"/>
        <v>BMOU2419699|20 FT|DRY|ZONA</v>
      </c>
    </row>
    <row r="440" spans="1:11" x14ac:dyDescent="0.2">
      <c r="A440">
        <v>441</v>
      </c>
      <c r="C440" t="s">
        <v>63</v>
      </c>
      <c r="D440" s="1">
        <v>5162020</v>
      </c>
      <c r="E440" t="s">
        <v>149</v>
      </c>
      <c r="F440" s="2">
        <v>46158</v>
      </c>
      <c r="I440">
        <f t="shared" si="19"/>
        <v>7</v>
      </c>
      <c r="J440" t="str">
        <f t="shared" si="20"/>
        <v>MAGU5162020|46158|</v>
      </c>
      <c r="K440" t="str">
        <f t="shared" si="21"/>
        <v>MAGU5162020|20 FT|DRY|ZONA</v>
      </c>
    </row>
    <row r="441" spans="1:11" x14ac:dyDescent="0.2">
      <c r="A441">
        <v>442</v>
      </c>
      <c r="C441" t="s">
        <v>58</v>
      </c>
      <c r="D441" s="1">
        <v>2161766</v>
      </c>
      <c r="E441" t="s">
        <v>149</v>
      </c>
      <c r="F441" s="2">
        <v>46158</v>
      </c>
      <c r="I441">
        <f t="shared" si="19"/>
        <v>7</v>
      </c>
      <c r="J441" t="str">
        <f t="shared" si="20"/>
        <v>EISU2161766|46158|</v>
      </c>
      <c r="K441" t="str">
        <f t="shared" si="21"/>
        <v>EISU2161766|20 FT|DRY|ZONA</v>
      </c>
    </row>
    <row r="442" spans="1:11" x14ac:dyDescent="0.2">
      <c r="A442">
        <v>443</v>
      </c>
      <c r="C442" t="s">
        <v>89</v>
      </c>
      <c r="D442" s="1" t="s">
        <v>123</v>
      </c>
      <c r="E442" t="s">
        <v>149</v>
      </c>
      <c r="F442" s="2">
        <v>46158</v>
      </c>
      <c r="G442" s="2">
        <v>46233</v>
      </c>
      <c r="I442">
        <f t="shared" si="19"/>
        <v>7</v>
      </c>
      <c r="J442" t="str">
        <f t="shared" si="20"/>
        <v>PONU0269269|46158|46233</v>
      </c>
      <c r="K442" t="str">
        <f t="shared" si="21"/>
        <v>PONU0269269|20 FT|DRY|ZONA</v>
      </c>
    </row>
    <row r="443" spans="1:11" x14ac:dyDescent="0.2">
      <c r="A443">
        <v>444</v>
      </c>
      <c r="C443" t="s">
        <v>28</v>
      </c>
      <c r="D443" s="1">
        <v>2940998</v>
      </c>
      <c r="E443" t="s">
        <v>149</v>
      </c>
      <c r="F443" s="2">
        <v>46158</v>
      </c>
      <c r="G443" s="2">
        <v>46226</v>
      </c>
      <c r="I443">
        <f t="shared" si="19"/>
        <v>7</v>
      </c>
      <c r="J443" t="str">
        <f t="shared" si="20"/>
        <v>FORU2940998|46158|46226</v>
      </c>
      <c r="K443" t="str">
        <f t="shared" si="21"/>
        <v>FORU2940998|20 FT|DRY|ZONA</v>
      </c>
    </row>
    <row r="444" spans="1:11" x14ac:dyDescent="0.2">
      <c r="A444">
        <v>445</v>
      </c>
      <c r="C444" t="s">
        <v>11</v>
      </c>
      <c r="D444" s="1">
        <v>2353677</v>
      </c>
      <c r="E444" t="s">
        <v>149</v>
      </c>
      <c r="F444" s="2">
        <v>46154</v>
      </c>
      <c r="G444" s="2">
        <v>46259</v>
      </c>
      <c r="I444">
        <f t="shared" si="19"/>
        <v>7</v>
      </c>
      <c r="J444" t="str">
        <f t="shared" si="20"/>
        <v>TEMU2353677|46154|46259</v>
      </c>
      <c r="K444" t="str">
        <f t="shared" si="21"/>
        <v>TEMU2353677|20 FT|DRY|ZONA</v>
      </c>
    </row>
    <row r="445" spans="1:11" x14ac:dyDescent="0.2">
      <c r="A445">
        <v>446</v>
      </c>
      <c r="C445" t="s">
        <v>41</v>
      </c>
      <c r="D445" s="1">
        <v>4849385</v>
      </c>
      <c r="E445" t="s">
        <v>134</v>
      </c>
      <c r="F445" s="2">
        <v>46163</v>
      </c>
      <c r="I445">
        <f t="shared" si="19"/>
        <v>7</v>
      </c>
      <c r="J445" t="str">
        <f t="shared" si="20"/>
        <v>BMOU4849385|46163|</v>
      </c>
      <c r="K445" t="str">
        <f t="shared" si="21"/>
        <v>BMOU4849385|40 FT|DRY|ZONA</v>
      </c>
    </row>
    <row r="446" spans="1:11" x14ac:dyDescent="0.2">
      <c r="A446">
        <v>447</v>
      </c>
      <c r="C446" t="s">
        <v>75</v>
      </c>
      <c r="D446" s="1">
        <v>5728903</v>
      </c>
      <c r="E446" t="s">
        <v>134</v>
      </c>
      <c r="F446" s="2">
        <v>46165</v>
      </c>
      <c r="I446">
        <f t="shared" si="19"/>
        <v>7</v>
      </c>
      <c r="J446" t="str">
        <f t="shared" si="20"/>
        <v>CMAU5728903|46165|</v>
      </c>
      <c r="K446" t="str">
        <f t="shared" si="21"/>
        <v>CMAU5728903|40 FT|DRY|ZONA</v>
      </c>
    </row>
    <row r="447" spans="1:11" x14ac:dyDescent="0.2">
      <c r="A447">
        <v>448</v>
      </c>
      <c r="C447" t="s">
        <v>75</v>
      </c>
      <c r="D447" s="1">
        <v>5748751</v>
      </c>
      <c r="E447" t="s">
        <v>134</v>
      </c>
      <c r="F447" s="2">
        <v>46165</v>
      </c>
      <c r="I447">
        <f t="shared" si="19"/>
        <v>7</v>
      </c>
      <c r="J447" t="str">
        <f t="shared" si="20"/>
        <v>CMAU5748751|46165|</v>
      </c>
      <c r="K447" t="str">
        <f t="shared" si="21"/>
        <v>CMAU5748751|40 FT|DRY|ZONA</v>
      </c>
    </row>
    <row r="448" spans="1:11" x14ac:dyDescent="0.2">
      <c r="A448">
        <v>449</v>
      </c>
      <c r="C448" t="s">
        <v>75</v>
      </c>
      <c r="D448" s="1">
        <v>5754029</v>
      </c>
      <c r="E448" t="s">
        <v>134</v>
      </c>
      <c r="F448" s="2">
        <v>46165</v>
      </c>
      <c r="I448">
        <f t="shared" si="19"/>
        <v>7</v>
      </c>
      <c r="J448" t="str">
        <f t="shared" si="20"/>
        <v>CMAU5754029|46165|</v>
      </c>
      <c r="K448" t="str">
        <f t="shared" si="21"/>
        <v>CMAU5754029|40 FT|DRY|ZONA</v>
      </c>
    </row>
    <row r="449" spans="1:11" x14ac:dyDescent="0.2">
      <c r="A449">
        <v>450</v>
      </c>
      <c r="C449" t="s">
        <v>31</v>
      </c>
      <c r="D449" s="1">
        <v>3790425</v>
      </c>
      <c r="E449" t="s">
        <v>149</v>
      </c>
      <c r="F449" s="2">
        <v>46158</v>
      </c>
      <c r="G449" s="2">
        <v>46244</v>
      </c>
      <c r="I449">
        <f t="shared" ref="I449:I511" si="22">LEN(D449)</f>
        <v>7</v>
      </c>
      <c r="J449" t="str">
        <f t="shared" si="20"/>
        <v>CCLU3790425|46158|46244</v>
      </c>
      <c r="K449" t="str">
        <f t="shared" si="21"/>
        <v>CCLU3790425|20 FT|DRY|ZONA</v>
      </c>
    </row>
    <row r="450" spans="1:11" x14ac:dyDescent="0.2">
      <c r="A450">
        <v>451</v>
      </c>
      <c r="C450" t="s">
        <v>75</v>
      </c>
      <c r="D450" s="1">
        <v>5731846</v>
      </c>
      <c r="E450" t="s">
        <v>134</v>
      </c>
      <c r="F450" s="2">
        <v>46168</v>
      </c>
      <c r="I450">
        <f t="shared" si="22"/>
        <v>7</v>
      </c>
      <c r="J450" t="str">
        <f t="shared" si="20"/>
        <v>CMAU5731846|46168|</v>
      </c>
      <c r="K450" t="str">
        <f t="shared" si="21"/>
        <v>CMAU5731846|40 FT|DRY|ZONA</v>
      </c>
    </row>
    <row r="451" spans="1:11" x14ac:dyDescent="0.2">
      <c r="A451">
        <v>452</v>
      </c>
      <c r="C451" t="s">
        <v>53</v>
      </c>
      <c r="D451" s="1">
        <v>9263315</v>
      </c>
      <c r="E451" t="s">
        <v>134</v>
      </c>
      <c r="F451" s="2">
        <v>46165</v>
      </c>
      <c r="I451">
        <f t="shared" si="22"/>
        <v>7</v>
      </c>
      <c r="J451" t="str">
        <f t="shared" ref="J451:J514" si="23">C451&amp;D451&amp;"|"&amp;F451&amp;"|"&amp;G451</f>
        <v>CAXU9263315|46165|</v>
      </c>
      <c r="K451" t="str">
        <f t="shared" si="21"/>
        <v>CAXU9263315|40 FT|DRY|ZONA</v>
      </c>
    </row>
    <row r="452" spans="1:11" x14ac:dyDescent="0.2">
      <c r="A452">
        <v>453</v>
      </c>
      <c r="C452" t="s">
        <v>2</v>
      </c>
      <c r="D452" s="1">
        <v>6015337</v>
      </c>
      <c r="E452" t="s">
        <v>134</v>
      </c>
      <c r="F452" s="2">
        <v>46168</v>
      </c>
      <c r="I452">
        <f t="shared" si="22"/>
        <v>7</v>
      </c>
      <c r="J452" t="str">
        <f t="shared" si="23"/>
        <v>GESU6015337|46168|</v>
      </c>
      <c r="K452" t="str">
        <f t="shared" si="21"/>
        <v>GESU6015337|40 FT|DRY|ZONA</v>
      </c>
    </row>
    <row r="453" spans="1:11" x14ac:dyDescent="0.2">
      <c r="A453">
        <v>454</v>
      </c>
      <c r="C453" t="s">
        <v>33</v>
      </c>
      <c r="D453" s="1">
        <v>8404905</v>
      </c>
      <c r="E453" t="s">
        <v>134</v>
      </c>
      <c r="F453" s="2">
        <v>46171</v>
      </c>
      <c r="I453">
        <f t="shared" si="22"/>
        <v>7</v>
      </c>
      <c r="J453" t="str">
        <f t="shared" si="23"/>
        <v>CAIU8404905|46171|</v>
      </c>
      <c r="K453" t="str">
        <f t="shared" si="21"/>
        <v>CAIU8404905|40 FT|DRY|ZONA</v>
      </c>
    </row>
    <row r="454" spans="1:11" x14ac:dyDescent="0.2">
      <c r="A454">
        <v>455</v>
      </c>
      <c r="C454" t="s">
        <v>72</v>
      </c>
      <c r="D454" s="1">
        <v>6187694</v>
      </c>
      <c r="E454" t="s">
        <v>134</v>
      </c>
      <c r="F454" s="2">
        <v>46172</v>
      </c>
      <c r="G454" s="2">
        <v>46257</v>
      </c>
      <c r="I454">
        <f t="shared" si="22"/>
        <v>7</v>
      </c>
      <c r="J454" t="str">
        <f t="shared" si="23"/>
        <v>INKU6187694|46172|46257</v>
      </c>
      <c r="K454" t="str">
        <f t="shared" si="21"/>
        <v>INKU6187694|40 FT|DRY|ZONA</v>
      </c>
    </row>
    <row r="455" spans="1:11" x14ac:dyDescent="0.2">
      <c r="A455">
        <v>456</v>
      </c>
      <c r="C455" t="s">
        <v>81</v>
      </c>
      <c r="D455" s="1">
        <v>7684236</v>
      </c>
      <c r="E455" t="s">
        <v>134</v>
      </c>
      <c r="F455" s="2">
        <v>46171</v>
      </c>
      <c r="I455">
        <f t="shared" si="22"/>
        <v>7</v>
      </c>
      <c r="J455" t="str">
        <f t="shared" si="23"/>
        <v>MSCU7684236|46171|</v>
      </c>
      <c r="K455" t="str">
        <f t="shared" si="21"/>
        <v>MSCU7684236|40 FT|DRY|ZONA</v>
      </c>
    </row>
    <row r="456" spans="1:11" x14ac:dyDescent="0.2">
      <c r="A456">
        <v>457</v>
      </c>
      <c r="C456" t="s">
        <v>5</v>
      </c>
      <c r="D456" s="1">
        <v>8684951</v>
      </c>
      <c r="E456" t="s">
        <v>134</v>
      </c>
      <c r="F456" s="2">
        <v>46174</v>
      </c>
      <c r="G456" s="2">
        <v>46226</v>
      </c>
      <c r="I456">
        <f t="shared" si="22"/>
        <v>7</v>
      </c>
      <c r="J456" t="str">
        <f t="shared" si="23"/>
        <v>TGHU8684951|46174|46226</v>
      </c>
      <c r="K456" t="str">
        <f t="shared" si="21"/>
        <v>TGHU8684951|40 FT|DRY|ZONA</v>
      </c>
    </row>
    <row r="457" spans="1:11" x14ac:dyDescent="0.2">
      <c r="A457">
        <v>458</v>
      </c>
      <c r="C457" t="s">
        <v>84</v>
      </c>
      <c r="D457" s="1">
        <v>9260112</v>
      </c>
      <c r="E457" t="s">
        <v>134</v>
      </c>
      <c r="F457" s="2">
        <v>46175</v>
      </c>
      <c r="I457">
        <f t="shared" si="22"/>
        <v>7</v>
      </c>
      <c r="J457" t="str">
        <f t="shared" si="23"/>
        <v>TCNU9260112|46175|</v>
      </c>
      <c r="K457" t="str">
        <f t="shared" si="21"/>
        <v>TCNU9260112|40 FT|DRY|ZONA</v>
      </c>
    </row>
    <row r="458" spans="1:11" x14ac:dyDescent="0.2">
      <c r="A458">
        <v>459</v>
      </c>
      <c r="C458" t="s">
        <v>17</v>
      </c>
      <c r="D458" s="1">
        <v>9146899</v>
      </c>
      <c r="E458" t="s">
        <v>134</v>
      </c>
      <c r="F458" s="2">
        <v>46178</v>
      </c>
      <c r="I458">
        <f t="shared" si="22"/>
        <v>7</v>
      </c>
      <c r="J458" t="str">
        <f t="shared" si="23"/>
        <v>CRSU9146899|46178|</v>
      </c>
      <c r="K458" t="str">
        <f t="shared" si="21"/>
        <v>CRSU9146899|40 FT|DRY|ZONA</v>
      </c>
    </row>
    <row r="459" spans="1:11" x14ac:dyDescent="0.2">
      <c r="A459">
        <v>460</v>
      </c>
      <c r="C459" t="s">
        <v>33</v>
      </c>
      <c r="D459" s="1">
        <v>8355349</v>
      </c>
      <c r="E459" t="s">
        <v>134</v>
      </c>
      <c r="F459" s="2">
        <v>46177</v>
      </c>
      <c r="I459">
        <f t="shared" si="22"/>
        <v>7</v>
      </c>
      <c r="J459" t="str">
        <f t="shared" si="23"/>
        <v>CAIU8355349|46177|</v>
      </c>
      <c r="K459" t="str">
        <f t="shared" si="21"/>
        <v>CAIU8355349|40 FT|DRY|ZONA</v>
      </c>
    </row>
    <row r="460" spans="1:11" x14ac:dyDescent="0.2">
      <c r="A460">
        <v>461</v>
      </c>
      <c r="C460" t="s">
        <v>62</v>
      </c>
      <c r="D460" s="1">
        <v>9014619</v>
      </c>
      <c r="E460" t="s">
        <v>134</v>
      </c>
      <c r="F460" s="2">
        <v>46178</v>
      </c>
      <c r="I460">
        <f t="shared" si="22"/>
        <v>7</v>
      </c>
      <c r="J460" t="str">
        <f t="shared" si="23"/>
        <v>CLHU9014619|46178|</v>
      </c>
      <c r="K460" t="str">
        <f t="shared" ref="K460:K514" si="24">C460&amp;D460&amp;"|"&amp;E460&amp;"|"&amp;"DRY"&amp;"|"&amp;"ZONA"</f>
        <v>CLHU9014619|40 FT|DRY|ZONA</v>
      </c>
    </row>
    <row r="461" spans="1:11" x14ac:dyDescent="0.2">
      <c r="A461">
        <v>462</v>
      </c>
      <c r="C461" t="s">
        <v>98</v>
      </c>
      <c r="D461" s="1">
        <v>5194356</v>
      </c>
      <c r="E461" t="s">
        <v>134</v>
      </c>
      <c r="F461" s="2">
        <v>46178</v>
      </c>
      <c r="I461">
        <f t="shared" si="22"/>
        <v>7</v>
      </c>
      <c r="J461" t="str">
        <f t="shared" si="23"/>
        <v>WFHU5194356|46178|</v>
      </c>
      <c r="K461" t="str">
        <f t="shared" si="24"/>
        <v>WFHU5194356|40 FT|DRY|ZONA</v>
      </c>
    </row>
    <row r="462" spans="1:11" x14ac:dyDescent="0.2">
      <c r="A462">
        <v>463</v>
      </c>
      <c r="C462" t="s">
        <v>2</v>
      </c>
      <c r="D462" s="1">
        <v>6223140</v>
      </c>
      <c r="E462" t="s">
        <v>134</v>
      </c>
      <c r="F462" s="2">
        <v>46179</v>
      </c>
      <c r="I462">
        <f t="shared" si="22"/>
        <v>7</v>
      </c>
      <c r="J462" t="str">
        <f t="shared" si="23"/>
        <v>GESU6223140|46179|</v>
      </c>
      <c r="K462" t="str">
        <f t="shared" si="24"/>
        <v>GESU6223140|40 FT|DRY|ZONA</v>
      </c>
    </row>
    <row r="463" spans="1:11" x14ac:dyDescent="0.2">
      <c r="A463">
        <v>464</v>
      </c>
      <c r="C463" t="s">
        <v>36</v>
      </c>
      <c r="D463" s="1">
        <v>1285505</v>
      </c>
      <c r="E463" t="s">
        <v>149</v>
      </c>
      <c r="F463" s="2">
        <v>46183</v>
      </c>
      <c r="I463">
        <f t="shared" si="22"/>
        <v>7</v>
      </c>
      <c r="J463" t="str">
        <f t="shared" si="23"/>
        <v>CXDU1285505|46183|</v>
      </c>
      <c r="K463" t="str">
        <f t="shared" si="24"/>
        <v>CXDU1285505|20 FT|DRY|ZONA</v>
      </c>
    </row>
    <row r="464" spans="1:11" x14ac:dyDescent="0.2">
      <c r="A464">
        <v>466</v>
      </c>
      <c r="C464" t="s">
        <v>11</v>
      </c>
      <c r="D464" s="1">
        <v>2817361</v>
      </c>
      <c r="E464" t="s">
        <v>149</v>
      </c>
      <c r="F464" s="2">
        <v>46183</v>
      </c>
      <c r="G464" s="2">
        <v>46253</v>
      </c>
      <c r="I464">
        <f t="shared" si="22"/>
        <v>7</v>
      </c>
      <c r="J464" t="str">
        <f t="shared" si="23"/>
        <v>TEMU2817361|46183|46253</v>
      </c>
      <c r="K464" t="str">
        <f t="shared" si="24"/>
        <v>TEMU2817361|20 FT|DRY|ZONA</v>
      </c>
    </row>
    <row r="465" spans="1:11" x14ac:dyDescent="0.2">
      <c r="A465">
        <v>467</v>
      </c>
      <c r="C465" t="s">
        <v>26</v>
      </c>
      <c r="D465" s="1">
        <v>8306850</v>
      </c>
      <c r="E465" t="s">
        <v>149</v>
      </c>
      <c r="F465" s="2">
        <v>46183</v>
      </c>
      <c r="I465">
        <f t="shared" si="22"/>
        <v>7</v>
      </c>
      <c r="J465" t="str">
        <f t="shared" si="23"/>
        <v>GATU8306850|46183|</v>
      </c>
      <c r="K465" t="str">
        <f t="shared" si="24"/>
        <v>GATU8306850|20 FT|DRY|ZONA</v>
      </c>
    </row>
    <row r="466" spans="1:11" x14ac:dyDescent="0.2">
      <c r="A466">
        <v>468</v>
      </c>
      <c r="C466" t="s">
        <v>30</v>
      </c>
      <c r="D466" s="1">
        <v>1034477</v>
      </c>
      <c r="E466" t="s">
        <v>149</v>
      </c>
      <c r="F466" s="2">
        <v>46183</v>
      </c>
      <c r="I466">
        <f t="shared" si="22"/>
        <v>7</v>
      </c>
      <c r="J466" t="str">
        <f t="shared" si="23"/>
        <v>CSLU1034477|46183|</v>
      </c>
      <c r="K466" t="str">
        <f t="shared" si="24"/>
        <v>CSLU1034477|20 FT|DRY|ZONA</v>
      </c>
    </row>
    <row r="467" spans="1:11" x14ac:dyDescent="0.2">
      <c r="A467">
        <v>469</v>
      </c>
      <c r="C467" t="s">
        <v>5</v>
      </c>
      <c r="D467" s="1">
        <v>2978820</v>
      </c>
      <c r="E467" t="s">
        <v>149</v>
      </c>
      <c r="F467" s="2">
        <v>46183</v>
      </c>
      <c r="I467">
        <f t="shared" si="22"/>
        <v>7</v>
      </c>
      <c r="J467" t="str">
        <f t="shared" si="23"/>
        <v>TGHU2978820|46183|</v>
      </c>
      <c r="K467" t="str">
        <f t="shared" si="24"/>
        <v>TGHU2978820|20 FT|DRY|ZONA</v>
      </c>
    </row>
    <row r="468" spans="1:11" x14ac:dyDescent="0.2">
      <c r="A468">
        <v>470</v>
      </c>
      <c r="C468" t="s">
        <v>38</v>
      </c>
      <c r="D468" s="1">
        <v>9641743</v>
      </c>
      <c r="E468" t="s">
        <v>149</v>
      </c>
      <c r="F468" s="2">
        <v>46184</v>
      </c>
      <c r="G468" s="2">
        <v>46246</v>
      </c>
      <c r="I468">
        <f t="shared" si="22"/>
        <v>7</v>
      </c>
      <c r="J468" t="str">
        <f t="shared" si="23"/>
        <v>TRLU9641743|46184|46246</v>
      </c>
      <c r="K468" t="str">
        <f t="shared" si="24"/>
        <v>TRLU9641743|20 FT|DRY|ZONA</v>
      </c>
    </row>
    <row r="469" spans="1:11" x14ac:dyDescent="0.2">
      <c r="A469">
        <v>471</v>
      </c>
      <c r="C469" t="s">
        <v>29</v>
      </c>
      <c r="D469" s="1">
        <v>1976356</v>
      </c>
      <c r="E469" t="s">
        <v>149</v>
      </c>
      <c r="F469" s="2">
        <v>46184</v>
      </c>
      <c r="G469" s="2">
        <v>46232</v>
      </c>
      <c r="I469">
        <f t="shared" si="22"/>
        <v>7</v>
      </c>
      <c r="J469" t="str">
        <f t="shared" si="23"/>
        <v>CRXU1976356|46184|46232</v>
      </c>
      <c r="K469" t="str">
        <f t="shared" si="24"/>
        <v>CRXU1976356|20 FT|DRY|ZONA</v>
      </c>
    </row>
    <row r="470" spans="1:11" x14ac:dyDescent="0.2">
      <c r="A470">
        <v>472</v>
      </c>
      <c r="C470" t="s">
        <v>62</v>
      </c>
      <c r="D470" s="1">
        <v>8142467</v>
      </c>
      <c r="E470" t="s">
        <v>134</v>
      </c>
      <c r="F470" s="2">
        <v>46182</v>
      </c>
      <c r="I470">
        <f t="shared" si="22"/>
        <v>7</v>
      </c>
      <c r="J470" t="str">
        <f t="shared" si="23"/>
        <v>CLHU8142467|46182|</v>
      </c>
      <c r="K470" t="str">
        <f t="shared" si="24"/>
        <v>CLHU8142467|40 FT|DRY|ZONA</v>
      </c>
    </row>
    <row r="471" spans="1:11" x14ac:dyDescent="0.2">
      <c r="A471">
        <v>473</v>
      </c>
      <c r="C471" t="s">
        <v>11</v>
      </c>
      <c r="D471" s="1">
        <v>2869935</v>
      </c>
      <c r="E471" t="s">
        <v>149</v>
      </c>
      <c r="F471" s="2">
        <v>46183</v>
      </c>
      <c r="I471">
        <f t="shared" si="22"/>
        <v>7</v>
      </c>
      <c r="J471" t="str">
        <f t="shared" si="23"/>
        <v>TEMU2869935|46183|</v>
      </c>
      <c r="K471" t="str">
        <f t="shared" si="24"/>
        <v>TEMU2869935|20 FT|DRY|ZONA</v>
      </c>
    </row>
    <row r="472" spans="1:11" x14ac:dyDescent="0.2">
      <c r="A472">
        <v>474</v>
      </c>
      <c r="C472" t="s">
        <v>10</v>
      </c>
      <c r="D472" s="1">
        <v>1386050</v>
      </c>
      <c r="E472" t="s">
        <v>149</v>
      </c>
      <c r="F472" s="2">
        <v>46183</v>
      </c>
      <c r="G472" s="2">
        <v>46243</v>
      </c>
      <c r="I472">
        <f t="shared" si="22"/>
        <v>7</v>
      </c>
      <c r="J472" t="str">
        <f t="shared" si="23"/>
        <v>OOLU1386050|46183|46243</v>
      </c>
      <c r="K472" t="str">
        <f t="shared" si="24"/>
        <v>OOLU1386050|20 FT|DRY|ZONA</v>
      </c>
    </row>
    <row r="473" spans="1:11" x14ac:dyDescent="0.2">
      <c r="A473">
        <v>475</v>
      </c>
      <c r="C473" t="s">
        <v>9</v>
      </c>
      <c r="D473" s="1">
        <v>2313088</v>
      </c>
      <c r="E473" t="s">
        <v>149</v>
      </c>
      <c r="F473" s="2">
        <v>46183</v>
      </c>
      <c r="I473">
        <f t="shared" si="22"/>
        <v>7</v>
      </c>
      <c r="J473" t="str">
        <f t="shared" si="23"/>
        <v>FCIU2313088|46183|</v>
      </c>
      <c r="K473" t="str">
        <f t="shared" si="24"/>
        <v>FCIU2313088|20 FT|DRY|ZONA</v>
      </c>
    </row>
    <row r="474" spans="1:11" x14ac:dyDescent="0.2">
      <c r="A474">
        <v>476</v>
      </c>
      <c r="C474" t="s">
        <v>10</v>
      </c>
      <c r="D474" s="1">
        <v>1375333</v>
      </c>
      <c r="E474" t="s">
        <v>149</v>
      </c>
      <c r="F474" s="2">
        <v>46183</v>
      </c>
      <c r="I474">
        <f t="shared" si="22"/>
        <v>7</v>
      </c>
      <c r="J474" t="str">
        <f t="shared" si="23"/>
        <v>OOLU1375333|46183|</v>
      </c>
      <c r="K474" t="str">
        <f t="shared" si="24"/>
        <v>OOLU1375333|20 FT|DRY|ZONA</v>
      </c>
    </row>
    <row r="475" spans="1:11" x14ac:dyDescent="0.2">
      <c r="A475">
        <v>477</v>
      </c>
      <c r="C475" t="s">
        <v>3</v>
      </c>
      <c r="D475" s="1">
        <v>2309817</v>
      </c>
      <c r="E475" t="s">
        <v>149</v>
      </c>
      <c r="F475" s="2">
        <v>46184</v>
      </c>
      <c r="I475">
        <f t="shared" si="22"/>
        <v>7</v>
      </c>
      <c r="J475" t="str">
        <f t="shared" si="23"/>
        <v>MSKU2309817|46184|</v>
      </c>
      <c r="K475" t="str">
        <f t="shared" si="24"/>
        <v>MSKU2309817|20 FT|DRY|ZONA</v>
      </c>
    </row>
    <row r="476" spans="1:11" x14ac:dyDescent="0.2">
      <c r="A476">
        <v>478</v>
      </c>
      <c r="C476" t="s">
        <v>29</v>
      </c>
      <c r="D476" s="1">
        <v>3126372</v>
      </c>
      <c r="E476" t="s">
        <v>149</v>
      </c>
      <c r="F476" s="2">
        <v>46184</v>
      </c>
      <c r="G476" s="2">
        <v>46251</v>
      </c>
      <c r="I476">
        <f t="shared" si="22"/>
        <v>7</v>
      </c>
      <c r="J476" t="str">
        <f t="shared" si="23"/>
        <v>CRXU3126372|46184|46251</v>
      </c>
      <c r="K476" t="str">
        <f t="shared" si="24"/>
        <v>CRXU3126372|20 FT|DRY|ZONA</v>
      </c>
    </row>
    <row r="477" spans="1:11" x14ac:dyDescent="0.2">
      <c r="A477">
        <v>479</v>
      </c>
      <c r="C477" t="s">
        <v>63</v>
      </c>
      <c r="D477" s="1">
        <v>2132839</v>
      </c>
      <c r="E477" t="s">
        <v>149</v>
      </c>
      <c r="F477" s="2">
        <v>46184</v>
      </c>
      <c r="G477" s="2">
        <v>46230</v>
      </c>
      <c r="I477">
        <f t="shared" si="22"/>
        <v>7</v>
      </c>
      <c r="J477" t="str">
        <f t="shared" si="23"/>
        <v>MAGU2132839|46184|46230</v>
      </c>
      <c r="K477" t="str">
        <f t="shared" si="24"/>
        <v>MAGU2132839|20 FT|DRY|ZONA</v>
      </c>
    </row>
    <row r="478" spans="1:11" x14ac:dyDescent="0.2">
      <c r="A478">
        <v>480</v>
      </c>
      <c r="C478" t="s">
        <v>13</v>
      </c>
      <c r="D478" s="1">
        <v>3665634</v>
      </c>
      <c r="E478" t="s">
        <v>149</v>
      </c>
      <c r="F478" s="2">
        <v>46184</v>
      </c>
      <c r="G478" s="2">
        <v>46236</v>
      </c>
      <c r="I478">
        <f t="shared" si="22"/>
        <v>7</v>
      </c>
      <c r="J478" t="str">
        <f t="shared" si="23"/>
        <v>CBHU3665634|46184|46236</v>
      </c>
      <c r="K478" t="str">
        <f t="shared" si="24"/>
        <v>CBHU3665634|20 FT|DRY|ZONA</v>
      </c>
    </row>
    <row r="479" spans="1:11" x14ac:dyDescent="0.2">
      <c r="A479">
        <v>481</v>
      </c>
      <c r="C479" t="s">
        <v>60</v>
      </c>
      <c r="D479" s="1">
        <v>2857341</v>
      </c>
      <c r="E479" t="s">
        <v>149</v>
      </c>
      <c r="F479" s="2">
        <v>46184</v>
      </c>
      <c r="I479">
        <f t="shared" si="22"/>
        <v>7</v>
      </c>
      <c r="J479" t="str">
        <f t="shared" si="23"/>
        <v>DFSU2857341|46184|</v>
      </c>
      <c r="K479" t="str">
        <f t="shared" si="24"/>
        <v>DFSU2857341|20 FT|DRY|ZONA</v>
      </c>
    </row>
    <row r="480" spans="1:11" x14ac:dyDescent="0.2">
      <c r="A480">
        <v>482</v>
      </c>
      <c r="C480" t="s">
        <v>91</v>
      </c>
      <c r="D480" s="1">
        <v>1181856</v>
      </c>
      <c r="E480" t="s">
        <v>149</v>
      </c>
      <c r="F480" s="2">
        <v>46184</v>
      </c>
      <c r="G480" s="2">
        <v>46246</v>
      </c>
      <c r="I480">
        <f t="shared" si="22"/>
        <v>7</v>
      </c>
      <c r="J480" t="str">
        <f t="shared" si="23"/>
        <v>XINU1181856|46184|46246</v>
      </c>
      <c r="K480" t="str">
        <f t="shared" si="24"/>
        <v>XINU1181856|20 FT|DRY|ZONA</v>
      </c>
    </row>
    <row r="481" spans="1:11" x14ac:dyDescent="0.2">
      <c r="A481">
        <v>483</v>
      </c>
      <c r="C481" t="s">
        <v>13</v>
      </c>
      <c r="D481" s="1">
        <v>5962626</v>
      </c>
      <c r="E481" t="s">
        <v>149</v>
      </c>
      <c r="F481" s="2">
        <v>46184</v>
      </c>
      <c r="G481" s="2">
        <v>46236</v>
      </c>
      <c r="I481">
        <f t="shared" si="22"/>
        <v>7</v>
      </c>
      <c r="J481" t="str">
        <f t="shared" si="23"/>
        <v>CBHU5962626|46184|46236</v>
      </c>
      <c r="K481" t="str">
        <f t="shared" si="24"/>
        <v>CBHU5962626|20 FT|DRY|ZONA</v>
      </c>
    </row>
    <row r="482" spans="1:11" x14ac:dyDescent="0.2">
      <c r="A482">
        <v>484</v>
      </c>
      <c r="C482" t="s">
        <v>5</v>
      </c>
      <c r="D482" s="1" t="s">
        <v>124</v>
      </c>
      <c r="E482" t="s">
        <v>149</v>
      </c>
      <c r="F482" s="2">
        <v>46184</v>
      </c>
      <c r="G482" s="2">
        <v>46230</v>
      </c>
      <c r="I482">
        <f t="shared" si="22"/>
        <v>7</v>
      </c>
      <c r="J482" t="str">
        <f t="shared" si="23"/>
        <v>TGHU0149096|46184|46230</v>
      </c>
      <c r="K482" t="str">
        <f t="shared" si="24"/>
        <v>TGHU0149096|20 FT|DRY|ZONA</v>
      </c>
    </row>
    <row r="483" spans="1:11" x14ac:dyDescent="0.2">
      <c r="A483">
        <v>485</v>
      </c>
      <c r="C483" t="s">
        <v>10</v>
      </c>
      <c r="D483" s="1">
        <v>1446632</v>
      </c>
      <c r="E483" t="s">
        <v>149</v>
      </c>
      <c r="F483" s="2">
        <v>46184</v>
      </c>
      <c r="G483" s="2">
        <v>46254</v>
      </c>
      <c r="I483">
        <f t="shared" si="22"/>
        <v>7</v>
      </c>
      <c r="J483" t="str">
        <f t="shared" si="23"/>
        <v>OOLU1446632|46184|46254</v>
      </c>
      <c r="K483" t="str">
        <f t="shared" si="24"/>
        <v>OOLU1446632|20 FT|DRY|ZONA</v>
      </c>
    </row>
    <row r="484" spans="1:11" x14ac:dyDescent="0.2">
      <c r="A484">
        <v>486</v>
      </c>
      <c r="C484" t="s">
        <v>29</v>
      </c>
      <c r="D484" s="1">
        <v>3216970</v>
      </c>
      <c r="E484" t="s">
        <v>149</v>
      </c>
      <c r="F484" s="2">
        <v>46184</v>
      </c>
      <c r="I484">
        <f t="shared" si="22"/>
        <v>7</v>
      </c>
      <c r="J484" t="str">
        <f t="shared" si="23"/>
        <v>CRXU3216970|46184|</v>
      </c>
      <c r="K484" t="str">
        <f t="shared" si="24"/>
        <v>CRXU3216970|20 FT|DRY|ZONA</v>
      </c>
    </row>
    <row r="485" spans="1:11" x14ac:dyDescent="0.2">
      <c r="A485">
        <v>487</v>
      </c>
      <c r="C485" t="s">
        <v>99</v>
      </c>
      <c r="D485" s="1">
        <v>2993656</v>
      </c>
      <c r="E485" t="s">
        <v>149</v>
      </c>
      <c r="F485" s="2">
        <v>46184</v>
      </c>
      <c r="G485" s="2">
        <v>46219</v>
      </c>
      <c r="I485">
        <f t="shared" si="22"/>
        <v>7</v>
      </c>
      <c r="J485" t="str">
        <f t="shared" si="23"/>
        <v>TTNU2993656|46184|46219</v>
      </c>
      <c r="K485" t="str">
        <f t="shared" si="24"/>
        <v>TTNU2993656|20 FT|DRY|ZONA</v>
      </c>
    </row>
    <row r="486" spans="1:11" x14ac:dyDescent="0.2">
      <c r="A486">
        <v>488</v>
      </c>
      <c r="C486" t="s">
        <v>125</v>
      </c>
      <c r="D486" s="1">
        <v>3378737</v>
      </c>
      <c r="E486" t="s">
        <v>149</v>
      </c>
      <c r="F486" s="2">
        <v>46184</v>
      </c>
      <c r="G486" s="2">
        <v>46232</v>
      </c>
      <c r="I486">
        <f t="shared" si="22"/>
        <v>7</v>
      </c>
      <c r="J486" t="str">
        <f t="shared" si="23"/>
        <v>HLXU3378737|46184|46232</v>
      </c>
      <c r="K486" t="str">
        <f t="shared" si="24"/>
        <v>HLXU3378737|20 FT|DRY|ZONA</v>
      </c>
    </row>
    <row r="487" spans="1:11" x14ac:dyDescent="0.2">
      <c r="A487">
        <v>489</v>
      </c>
      <c r="C487" t="s">
        <v>2</v>
      </c>
      <c r="D487" s="1">
        <v>1426103</v>
      </c>
      <c r="E487" t="s">
        <v>149</v>
      </c>
      <c r="F487" s="2">
        <v>46183</v>
      </c>
      <c r="G487" s="2">
        <v>46231</v>
      </c>
      <c r="I487">
        <f t="shared" si="22"/>
        <v>7</v>
      </c>
      <c r="J487" t="str">
        <f t="shared" si="23"/>
        <v>GESU1426103|46183|46231</v>
      </c>
      <c r="K487" t="str">
        <f t="shared" si="24"/>
        <v>GESU1426103|20 FT|DRY|ZONA</v>
      </c>
    </row>
    <row r="488" spans="1:11" x14ac:dyDescent="0.2">
      <c r="A488">
        <v>490</v>
      </c>
      <c r="C488" t="s">
        <v>3</v>
      </c>
      <c r="D488" s="1">
        <v>2439111</v>
      </c>
      <c r="E488" t="s">
        <v>149</v>
      </c>
      <c r="F488" s="2">
        <v>46184</v>
      </c>
      <c r="G488" s="2">
        <v>46233</v>
      </c>
      <c r="I488">
        <f t="shared" si="22"/>
        <v>7</v>
      </c>
      <c r="J488" t="str">
        <f t="shared" si="23"/>
        <v>MSKU2439111|46184|46233</v>
      </c>
      <c r="K488" t="str">
        <f t="shared" si="24"/>
        <v>MSKU2439111|20 FT|DRY|ZONA</v>
      </c>
    </row>
    <row r="489" spans="1:11" x14ac:dyDescent="0.2">
      <c r="A489">
        <v>491</v>
      </c>
      <c r="C489" t="s">
        <v>11</v>
      </c>
      <c r="D489" s="1">
        <v>2744964</v>
      </c>
      <c r="E489" t="s">
        <v>149</v>
      </c>
      <c r="F489" s="2">
        <v>46184</v>
      </c>
      <c r="G489" s="2">
        <v>46243</v>
      </c>
      <c r="I489">
        <f t="shared" si="22"/>
        <v>7</v>
      </c>
      <c r="J489" t="str">
        <f t="shared" si="23"/>
        <v>TEMU2744964|46184|46243</v>
      </c>
      <c r="K489" t="str">
        <f t="shared" si="24"/>
        <v>TEMU2744964|20 FT|DRY|ZONA</v>
      </c>
    </row>
    <row r="490" spans="1:11" x14ac:dyDescent="0.2">
      <c r="A490">
        <v>492</v>
      </c>
      <c r="C490" t="s">
        <v>126</v>
      </c>
      <c r="D490" s="1">
        <v>3264150</v>
      </c>
      <c r="E490" t="s">
        <v>149</v>
      </c>
      <c r="F490" s="2">
        <v>46184</v>
      </c>
      <c r="G490" s="2">
        <v>46240</v>
      </c>
      <c r="I490">
        <f t="shared" si="22"/>
        <v>7</v>
      </c>
      <c r="J490" t="str">
        <f t="shared" si="23"/>
        <v>YMLU3264150|46184|46240</v>
      </c>
      <c r="K490" t="str">
        <f t="shared" si="24"/>
        <v>YMLU3264150|20 FT|DRY|ZONA</v>
      </c>
    </row>
    <row r="491" spans="1:11" x14ac:dyDescent="0.2">
      <c r="A491">
        <v>493</v>
      </c>
      <c r="C491" t="s">
        <v>13</v>
      </c>
      <c r="D491" s="1">
        <v>5536338</v>
      </c>
      <c r="E491" t="s">
        <v>149</v>
      </c>
      <c r="F491" s="2">
        <v>46184</v>
      </c>
      <c r="I491">
        <f t="shared" si="22"/>
        <v>7</v>
      </c>
      <c r="J491" t="str">
        <f t="shared" si="23"/>
        <v>CBHU5536338|46184|</v>
      </c>
      <c r="K491" t="str">
        <f t="shared" si="24"/>
        <v>CBHU5536338|20 FT|DRY|ZONA</v>
      </c>
    </row>
    <row r="492" spans="1:11" x14ac:dyDescent="0.2">
      <c r="A492">
        <v>494</v>
      </c>
      <c r="C492" t="s">
        <v>5</v>
      </c>
      <c r="D492" s="1">
        <v>1237083</v>
      </c>
      <c r="E492" t="s">
        <v>149</v>
      </c>
      <c r="F492" s="2">
        <v>46184</v>
      </c>
      <c r="G492" s="2">
        <v>46242</v>
      </c>
      <c r="I492">
        <f t="shared" si="22"/>
        <v>7</v>
      </c>
      <c r="J492" t="str">
        <f t="shared" si="23"/>
        <v>TGHU1237083|46184|46242</v>
      </c>
      <c r="K492" t="str">
        <f t="shared" si="24"/>
        <v>TGHU1237083|20 FT|DRY|ZONA</v>
      </c>
    </row>
    <row r="493" spans="1:11" x14ac:dyDescent="0.2">
      <c r="A493">
        <v>495</v>
      </c>
      <c r="C493" t="s">
        <v>10</v>
      </c>
      <c r="D493" s="1">
        <v>1347732</v>
      </c>
      <c r="E493" t="s">
        <v>149</v>
      </c>
      <c r="F493" s="2">
        <v>46185</v>
      </c>
      <c r="I493">
        <f t="shared" si="22"/>
        <v>7</v>
      </c>
      <c r="J493" t="str">
        <f t="shared" si="23"/>
        <v>OOLU1347732|46185|</v>
      </c>
      <c r="K493" t="str">
        <f t="shared" si="24"/>
        <v>OOLU1347732|20 FT|DRY|ZONA</v>
      </c>
    </row>
    <row r="494" spans="1:11" x14ac:dyDescent="0.2">
      <c r="A494">
        <v>496</v>
      </c>
      <c r="C494" t="s">
        <v>87</v>
      </c>
      <c r="D494" s="1">
        <v>3613191</v>
      </c>
      <c r="E494" t="s">
        <v>149</v>
      </c>
      <c r="F494" s="2">
        <v>46185</v>
      </c>
      <c r="I494">
        <f t="shared" si="22"/>
        <v>7</v>
      </c>
      <c r="J494" t="str">
        <f t="shared" si="23"/>
        <v>IRNU3613191|46185|</v>
      </c>
      <c r="K494" t="str">
        <f t="shared" si="24"/>
        <v>IRNU3613191|20 FT|DRY|ZONA</v>
      </c>
    </row>
    <row r="495" spans="1:11" x14ac:dyDescent="0.2">
      <c r="A495">
        <v>497</v>
      </c>
      <c r="C495" t="s">
        <v>11</v>
      </c>
      <c r="D495" s="1">
        <v>2353770</v>
      </c>
      <c r="E495" t="s">
        <v>149</v>
      </c>
      <c r="F495" s="2">
        <v>46185</v>
      </c>
      <c r="I495">
        <f t="shared" si="22"/>
        <v>7</v>
      </c>
      <c r="J495" t="str">
        <f t="shared" si="23"/>
        <v>TEMU2353770|46185|</v>
      </c>
      <c r="K495" t="str">
        <f t="shared" si="24"/>
        <v>TEMU2353770|20 FT|DRY|ZONA</v>
      </c>
    </row>
    <row r="496" spans="1:11" x14ac:dyDescent="0.2">
      <c r="A496">
        <v>498</v>
      </c>
      <c r="C496" t="s">
        <v>14</v>
      </c>
      <c r="D496" s="1" t="s">
        <v>127</v>
      </c>
      <c r="E496" t="s">
        <v>149</v>
      </c>
      <c r="F496" s="2">
        <v>46185</v>
      </c>
      <c r="I496">
        <f t="shared" si="22"/>
        <v>7</v>
      </c>
      <c r="J496" t="str">
        <f t="shared" si="23"/>
        <v>WHLU0352424|46185|</v>
      </c>
      <c r="K496" t="str">
        <f t="shared" si="24"/>
        <v>WHLU0352424|20 FT|DRY|ZONA</v>
      </c>
    </row>
    <row r="497" spans="1:11" x14ac:dyDescent="0.2">
      <c r="A497">
        <v>499</v>
      </c>
      <c r="C497" t="s">
        <v>96</v>
      </c>
      <c r="D497" s="1">
        <v>2463789</v>
      </c>
      <c r="E497" t="s">
        <v>149</v>
      </c>
      <c r="F497" s="2">
        <v>46185</v>
      </c>
      <c r="G497" s="2">
        <v>46254</v>
      </c>
      <c r="I497">
        <f t="shared" si="22"/>
        <v>7</v>
      </c>
      <c r="J497" t="str">
        <f t="shared" si="23"/>
        <v>HDMU2463789|46185|46254</v>
      </c>
      <c r="K497" t="str">
        <f t="shared" si="24"/>
        <v>HDMU2463789|20 FT|DRY|ZONA</v>
      </c>
    </row>
    <row r="498" spans="1:11" x14ac:dyDescent="0.2">
      <c r="A498">
        <v>500</v>
      </c>
      <c r="C498" t="s">
        <v>103</v>
      </c>
      <c r="D498" s="1">
        <v>2086380</v>
      </c>
      <c r="E498" t="s">
        <v>149</v>
      </c>
      <c r="F498" s="2">
        <v>46185</v>
      </c>
      <c r="G498" s="2">
        <v>46213</v>
      </c>
      <c r="I498">
        <f t="shared" si="22"/>
        <v>7</v>
      </c>
      <c r="J498" t="str">
        <f t="shared" si="23"/>
        <v>RFCU2086380|46185|46213</v>
      </c>
      <c r="K498" t="str">
        <f t="shared" si="24"/>
        <v>RFCU2086380|20 FT|DRY|ZONA</v>
      </c>
    </row>
    <row r="499" spans="1:11" x14ac:dyDescent="0.2">
      <c r="A499">
        <v>501</v>
      </c>
      <c r="C499" t="s">
        <v>126</v>
      </c>
      <c r="D499" s="1">
        <v>3217061</v>
      </c>
      <c r="E499" t="s">
        <v>149</v>
      </c>
      <c r="F499" s="2">
        <v>46185</v>
      </c>
      <c r="G499" s="2">
        <v>46260</v>
      </c>
      <c r="I499">
        <f t="shared" si="22"/>
        <v>7</v>
      </c>
      <c r="J499" t="str">
        <f t="shared" si="23"/>
        <v>YMLU3217061|46185|46260</v>
      </c>
      <c r="K499" t="str">
        <f t="shared" si="24"/>
        <v>YMLU3217061|20 FT|DRY|ZONA</v>
      </c>
    </row>
    <row r="500" spans="1:11" x14ac:dyDescent="0.2">
      <c r="A500">
        <v>502</v>
      </c>
      <c r="C500" t="s">
        <v>5</v>
      </c>
      <c r="D500" s="1">
        <v>1186920</v>
      </c>
      <c r="E500" t="s">
        <v>149</v>
      </c>
      <c r="F500" s="2">
        <v>46185</v>
      </c>
      <c r="G500" s="2">
        <v>46251</v>
      </c>
      <c r="I500">
        <f t="shared" si="22"/>
        <v>7</v>
      </c>
      <c r="J500" t="str">
        <f t="shared" si="23"/>
        <v>TGHU1186920|46185|46251</v>
      </c>
      <c r="K500" t="str">
        <f t="shared" si="24"/>
        <v>TGHU1186920|20 FT|DRY|ZONA</v>
      </c>
    </row>
    <row r="501" spans="1:11" x14ac:dyDescent="0.2">
      <c r="A501">
        <v>503</v>
      </c>
      <c r="C501" t="s">
        <v>5</v>
      </c>
      <c r="D501" s="1">
        <v>2390667</v>
      </c>
      <c r="E501" t="s">
        <v>149</v>
      </c>
      <c r="F501" s="2">
        <v>46185</v>
      </c>
      <c r="G501" s="2">
        <v>46252</v>
      </c>
      <c r="I501">
        <f t="shared" si="22"/>
        <v>7</v>
      </c>
      <c r="J501" t="str">
        <f t="shared" si="23"/>
        <v>TGHU2390667|46185|46252</v>
      </c>
      <c r="K501" t="str">
        <f t="shared" si="24"/>
        <v>TGHU2390667|20 FT|DRY|ZONA</v>
      </c>
    </row>
    <row r="502" spans="1:11" x14ac:dyDescent="0.2">
      <c r="A502">
        <v>504</v>
      </c>
      <c r="C502" t="s">
        <v>14</v>
      </c>
      <c r="D502" s="1" t="s">
        <v>128</v>
      </c>
      <c r="E502" t="s">
        <v>149</v>
      </c>
      <c r="F502" s="2">
        <v>46185</v>
      </c>
      <c r="I502">
        <f t="shared" si="22"/>
        <v>7</v>
      </c>
      <c r="J502" t="str">
        <f t="shared" si="23"/>
        <v>WHLU0283787|46185|</v>
      </c>
      <c r="K502" t="str">
        <f t="shared" si="24"/>
        <v>WHLU0283787|20 FT|DRY|ZONA</v>
      </c>
    </row>
    <row r="503" spans="1:11" x14ac:dyDescent="0.2">
      <c r="A503">
        <v>505</v>
      </c>
      <c r="C503" t="s">
        <v>36</v>
      </c>
      <c r="D503" s="1">
        <v>1267918</v>
      </c>
      <c r="E503" t="s">
        <v>149</v>
      </c>
      <c r="F503" s="2">
        <v>46186</v>
      </c>
      <c r="I503">
        <f t="shared" si="22"/>
        <v>7</v>
      </c>
      <c r="J503" t="str">
        <f t="shared" si="23"/>
        <v>CXDU1267918|46186|</v>
      </c>
      <c r="K503" t="str">
        <f t="shared" si="24"/>
        <v>CXDU1267918|20 FT|DRY|ZONA</v>
      </c>
    </row>
    <row r="504" spans="1:11" x14ac:dyDescent="0.2">
      <c r="A504">
        <v>506</v>
      </c>
      <c r="C504" t="s">
        <v>3</v>
      </c>
      <c r="D504" s="1">
        <v>2531260</v>
      </c>
      <c r="E504" t="s">
        <v>149</v>
      </c>
      <c r="F504" s="2">
        <v>46186</v>
      </c>
      <c r="G504" s="2">
        <v>46236</v>
      </c>
      <c r="I504">
        <f t="shared" si="22"/>
        <v>7</v>
      </c>
      <c r="J504" t="str">
        <f t="shared" si="23"/>
        <v>MSKU2531260|46186|46236</v>
      </c>
      <c r="K504" t="str">
        <f t="shared" si="24"/>
        <v>MSKU2531260|20 FT|DRY|ZONA</v>
      </c>
    </row>
    <row r="505" spans="1:11" x14ac:dyDescent="0.2">
      <c r="A505">
        <v>507</v>
      </c>
      <c r="C505" t="s">
        <v>34</v>
      </c>
      <c r="D505" s="1">
        <v>2878170</v>
      </c>
      <c r="E505" t="s">
        <v>149</v>
      </c>
      <c r="F505" s="2">
        <v>46186</v>
      </c>
      <c r="G505" s="2">
        <v>46233</v>
      </c>
      <c r="I505">
        <f t="shared" si="22"/>
        <v>7</v>
      </c>
      <c r="J505" t="str">
        <f t="shared" si="23"/>
        <v>SEGU2878170|46186|46233</v>
      </c>
      <c r="K505" t="str">
        <f t="shared" si="24"/>
        <v>SEGU2878170|20 FT|DRY|ZONA</v>
      </c>
    </row>
    <row r="506" spans="1:11" x14ac:dyDescent="0.2">
      <c r="A506">
        <v>508</v>
      </c>
      <c r="C506" t="s">
        <v>129</v>
      </c>
      <c r="D506" s="1">
        <v>3058499</v>
      </c>
      <c r="E506" t="s">
        <v>149</v>
      </c>
      <c r="F506" s="2">
        <v>46186</v>
      </c>
      <c r="I506">
        <f t="shared" si="22"/>
        <v>7</v>
      </c>
      <c r="J506" t="str">
        <f t="shared" si="23"/>
        <v>EGHU3058499|46186|</v>
      </c>
      <c r="K506" t="str">
        <f t="shared" si="24"/>
        <v>EGHU3058499|20 FT|DRY|ZONA</v>
      </c>
    </row>
    <row r="507" spans="1:11" x14ac:dyDescent="0.2">
      <c r="A507">
        <v>509</v>
      </c>
      <c r="C507" t="s">
        <v>36</v>
      </c>
      <c r="D507" s="1">
        <v>1430840</v>
      </c>
      <c r="E507" t="s">
        <v>149</v>
      </c>
      <c r="F507" s="2">
        <v>46186</v>
      </c>
      <c r="G507" s="2">
        <v>46252</v>
      </c>
      <c r="I507">
        <f t="shared" si="22"/>
        <v>7</v>
      </c>
      <c r="J507" t="str">
        <f t="shared" si="23"/>
        <v>CXDU1430840|46186|46252</v>
      </c>
      <c r="K507" t="str">
        <f t="shared" si="24"/>
        <v>CXDU1430840|20 FT|DRY|ZONA</v>
      </c>
    </row>
    <row r="508" spans="1:11" x14ac:dyDescent="0.2">
      <c r="A508">
        <v>510</v>
      </c>
      <c r="C508" t="s">
        <v>30</v>
      </c>
      <c r="D508" s="1">
        <v>1114398</v>
      </c>
      <c r="E508" t="s">
        <v>149</v>
      </c>
      <c r="F508" s="2">
        <v>46183</v>
      </c>
      <c r="G508" s="2">
        <v>46251</v>
      </c>
      <c r="I508">
        <f t="shared" si="22"/>
        <v>7</v>
      </c>
      <c r="J508" t="str">
        <f t="shared" si="23"/>
        <v>CSLU1114398|46183|46251</v>
      </c>
      <c r="K508" t="str">
        <f t="shared" si="24"/>
        <v>CSLU1114398|20 FT|DRY|ZONA</v>
      </c>
    </row>
    <row r="509" spans="1:11" x14ac:dyDescent="0.2">
      <c r="A509">
        <v>511</v>
      </c>
      <c r="C509" t="s">
        <v>130</v>
      </c>
      <c r="D509" s="1">
        <v>2279655</v>
      </c>
      <c r="E509" t="s">
        <v>149</v>
      </c>
      <c r="F509" s="2">
        <v>46183</v>
      </c>
      <c r="I509">
        <f t="shared" si="22"/>
        <v>7</v>
      </c>
      <c r="J509" t="str">
        <f t="shared" si="23"/>
        <v>ZGXU2279655|46183|</v>
      </c>
      <c r="K509" t="str">
        <f t="shared" si="24"/>
        <v>ZGXU2279655|20 FT|DRY|ZONA</v>
      </c>
    </row>
    <row r="510" spans="1:11" x14ac:dyDescent="0.2">
      <c r="A510">
        <v>512</v>
      </c>
      <c r="C510" t="s">
        <v>2</v>
      </c>
      <c r="D510" s="1" t="s">
        <v>131</v>
      </c>
      <c r="E510" t="s">
        <v>149</v>
      </c>
      <c r="F510" s="2">
        <v>46185</v>
      </c>
      <c r="G510" s="2">
        <v>46253</v>
      </c>
      <c r="I510">
        <f t="shared" si="22"/>
        <v>7</v>
      </c>
      <c r="J510" t="str">
        <f t="shared" si="23"/>
        <v>GESU3499789|46185|46253</v>
      </c>
      <c r="K510" t="str">
        <f t="shared" si="24"/>
        <v>GESU3499789|20 FT|DRY|ZONA</v>
      </c>
    </row>
    <row r="511" spans="1:11" x14ac:dyDescent="0.2">
      <c r="A511">
        <v>513</v>
      </c>
      <c r="C511" t="s">
        <v>5</v>
      </c>
      <c r="D511" s="1">
        <v>1228950</v>
      </c>
      <c r="E511" t="s">
        <v>149</v>
      </c>
      <c r="F511" s="2">
        <v>46186</v>
      </c>
      <c r="G511" s="2">
        <v>46243</v>
      </c>
      <c r="I511">
        <f t="shared" si="22"/>
        <v>7</v>
      </c>
      <c r="J511" t="str">
        <f t="shared" si="23"/>
        <v>TGHU1228950|46186|46243</v>
      </c>
      <c r="K511" t="str">
        <f t="shared" si="24"/>
        <v>TGHU1228950|20 FT|DRY|ZONA</v>
      </c>
    </row>
    <row r="512" spans="1:11" x14ac:dyDescent="0.2">
      <c r="A512">
        <v>514</v>
      </c>
      <c r="C512" t="s">
        <v>32</v>
      </c>
      <c r="D512" s="1">
        <v>9872744</v>
      </c>
      <c r="E512" t="s">
        <v>134</v>
      </c>
      <c r="F512" s="2">
        <v>46214</v>
      </c>
      <c r="I512">
        <f t="shared" ref="I512:I514" si="25">LEN(D512)</f>
        <v>7</v>
      </c>
      <c r="J512" t="str">
        <f t="shared" si="23"/>
        <v>FSCU9872744|46214|</v>
      </c>
      <c r="K512" t="str">
        <f t="shared" si="24"/>
        <v>FSCU9872744|40 FT|DRY|ZONA</v>
      </c>
    </row>
    <row r="513" spans="1:11" x14ac:dyDescent="0.2">
      <c r="A513">
        <v>515</v>
      </c>
      <c r="C513" t="s">
        <v>31</v>
      </c>
      <c r="D513" s="1">
        <v>7441545</v>
      </c>
      <c r="E513" t="s">
        <v>134</v>
      </c>
      <c r="F513" s="2">
        <v>46234</v>
      </c>
      <c r="I513">
        <f t="shared" si="25"/>
        <v>7</v>
      </c>
      <c r="J513" t="str">
        <f t="shared" si="23"/>
        <v>CCLU7441545|46234|</v>
      </c>
      <c r="K513" t="str">
        <f t="shared" si="24"/>
        <v>CCLU7441545|40 FT|DRY|ZONA</v>
      </c>
    </row>
    <row r="514" spans="1:11" x14ac:dyDescent="0.2">
      <c r="A514">
        <v>516</v>
      </c>
      <c r="C514" t="s">
        <v>103</v>
      </c>
      <c r="D514" s="1">
        <v>2067014</v>
      </c>
      <c r="E514" t="s">
        <v>149</v>
      </c>
      <c r="F514" s="2">
        <v>46218</v>
      </c>
      <c r="G514" s="2">
        <v>46250</v>
      </c>
      <c r="I514">
        <f t="shared" si="25"/>
        <v>7</v>
      </c>
      <c r="J514" t="str">
        <f t="shared" si="23"/>
        <v>RFCU2067014|46218|46250</v>
      </c>
      <c r="K514" t="str">
        <f t="shared" si="24"/>
        <v>RFCU2067014|20 FT|DRY|ZONA</v>
      </c>
    </row>
  </sheetData>
  <autoFilter ref="A1:S514" xr:uid="{5256B3FC-1466-4F70-91D8-8E143AB191DF}"/>
  <conditionalFormatting sqref="D1:D1048576">
    <cfRule type="duplicateValues" dxfId="1" priority="2"/>
  </conditionalFormatting>
  <conditionalFormatting sqref="J1: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 888</dc:creator>
  <cp:lastModifiedBy>Indah 888</cp:lastModifiedBy>
  <dcterms:created xsi:type="dcterms:W3CDTF">2026-09-15T09:35:03Z</dcterms:created>
  <dcterms:modified xsi:type="dcterms:W3CDTF">2026-09-17T12:01:13Z</dcterms:modified>
</cp:coreProperties>
</file>